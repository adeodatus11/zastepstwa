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VULCAN\Repositories\Efeb_FB_Zastepstwa_2025\src\Vulcan.Efeb.PdfLibrary\Templates\"/>
    </mc:Choice>
  </mc:AlternateContent>
  <bookViews>
    <workbookView xWindow="28680" yWindow="-120" windowWidth="25440" windowHeight="15270" tabRatio="955" activeTab="1"/>
  </bookViews>
  <sheets>
    <sheet name="Opis parametrów" sheetId="14" r:id="rId6"/>
    <sheet name="Raport nieobecności" sheetId="21" r:id="rId7"/>
    <sheet name="Dane nieobecności" sheetId="15" r:id="rId8"/>
    <sheet name="Raport zastępstwa na zajęciach" sheetId="24" r:id="rId9"/>
    <sheet name="Raport zastępstwa oddziałów" sheetId="25" r:id="rId10"/>
    <sheet name="Raport zastępstwa" sheetId="23" r:id="rId11"/>
    <sheet name="Dane zastępstwa" sheetId="18" r:id="rId12"/>
  </sheets>
  <externalReferences>
    <externalReference r:id="rId15"/>
    <externalReference r:id="rId16"/>
  </externalReferences>
  <definedNames>
    <definedName name="_xlnm._FilterDatabase" localSheetId="2" hidden="1">'Dane nieobecności'!$A$1:$M$1</definedName>
    <definedName name="_xlnm._FilterDatabase" localSheetId="6" hidden="1">'Dane zastępstwa'!$A$1:$R$1</definedName>
  </definedNames>
  <calcPr calcId="152511"/>
  <pivotCaches>
    <pivotCache cacheId="1" r:id="rId2"/>
    <pivotCache cacheId="2" r:id="rId3"/>
    <pivotCache cacheId="3" r:id="rId4"/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<sst xmlns="http://schemas.openxmlformats.org/spreadsheetml/2006/main" count="1160" uniqueCount="183">
  <si>
    <t>Data</t>
  </si>
  <si>
    <t>Godzina od</t>
  </si>
  <si>
    <t>Godzina do</t>
  </si>
  <si>
    <t>Numer lekcji</t>
  </si>
  <si>
    <t>Typ danych</t>
  </si>
  <si>
    <t>Nazwa zajęć</t>
  </si>
  <si>
    <t>Prowadzący</t>
  </si>
  <si>
    <t>Główny prowadzący</t>
  </si>
  <si>
    <t>Powód nieobecności</t>
  </si>
  <si>
    <t>Skutek nieobecności</t>
  </si>
  <si>
    <t>Forma zastępstwa</t>
  </si>
  <si>
    <t>Forma płatności</t>
  </si>
  <si>
    <t>Typ płatności</t>
  </si>
  <si>
    <t>1CA</t>
  </si>
  <si>
    <t>Zastępstwo</t>
  </si>
  <si>
    <t>Tak</t>
  </si>
  <si>
    <t>Dodatkowo płatne</t>
  </si>
  <si>
    <t>Zastępstwo przypadkowe</t>
  </si>
  <si>
    <t>urlop</t>
  </si>
  <si>
    <t>Filipiak Wiesław [WF]</t>
  </si>
  <si>
    <t>Nowak Magdalena [Nm]</t>
  </si>
  <si>
    <t>10:25</t>
  </si>
  <si>
    <t>Realizowana nazwa zajęć</t>
  </si>
  <si>
    <t>Zestawienie nieobecności</t>
  </si>
  <si>
    <t>08:50</t>
  </si>
  <si>
    <t>Etykiety kolumn</t>
  </si>
  <si>
    <t>Suma końcowa</t>
  </si>
  <si>
    <t>Etykiety wierszy</t>
  </si>
  <si>
    <t>(puste)</t>
  </si>
  <si>
    <t>Zestawienie zastępstwa</t>
  </si>
  <si>
    <t>Zestawienie zastępstwa na zajęciach</t>
  </si>
  <si>
    <t>Oddział</t>
  </si>
  <si>
    <t/>
  </si>
  <si>
    <t>2000</t>
  </si>
  <si>
    <t>(puste) Suma</t>
  </si>
  <si>
    <t>09:40</t>
  </si>
  <si>
    <t>Zwykłe zastępstwo</t>
  </si>
  <si>
    <t>09:35</t>
  </si>
  <si>
    <t>Matematyka</t>
  </si>
  <si>
    <t>Oddział/dziennik/grupa/miejsce dyżuru</t>
  </si>
  <si>
    <t>Oddział/dziennik/grupa/miejsce dyżuru z podziałem</t>
  </si>
  <si>
    <t>Liczba godzin/liczba</t>
  </si>
  <si>
    <t>Suma z Liczba godzin/liczba</t>
  </si>
  <si>
    <t>Zestawienie zastępstwa oddziałów, dzienników, grup i miejsc dyżurów</t>
  </si>
  <si>
    <t>Razem: Suma z Liczba godzin/liczba</t>
  </si>
  <si>
    <t>Razem: Suma z Liczba godzin/liczba %</t>
  </si>
  <si>
    <t>Suma z Liczba godzin/liczba %</t>
  </si>
  <si>
    <t>1TH|JA2</t>
  </si>
  <si>
    <t>1TH</t>
  </si>
  <si>
    <t>Pracownia sprzedaży</t>
  </si>
  <si>
    <t>Czukiewska Bożena [BC]</t>
  </si>
  <si>
    <t>Taszycka Magdalena [MY]</t>
  </si>
  <si>
    <t>Informatyka</t>
  </si>
  <si>
    <t>Wycieczka</t>
  </si>
  <si>
    <t>Z nauczycielem uczącym w oddziale</t>
  </si>
  <si>
    <t>2TFA</t>
  </si>
  <si>
    <t>Edukacja obywatelska</t>
  </si>
  <si>
    <t>Kopij Marcin [Kj]</t>
  </si>
  <si>
    <t>Nowak Damiana [DW]</t>
  </si>
  <si>
    <t>Zajęcia biblioteczne</t>
  </si>
  <si>
    <t>Urlop okolicznościowy</t>
  </si>
  <si>
    <t>Złączenie grup</t>
  </si>
  <si>
    <t>Bezpłatne</t>
  </si>
  <si>
    <t>10:35</t>
  </si>
  <si>
    <t>11:20</t>
  </si>
  <si>
    <t>Rejno Julita [RJ]</t>
  </si>
  <si>
    <t>Wychowanie fizyczne</t>
  </si>
  <si>
    <t>3TFB</t>
  </si>
  <si>
    <t>Język polski</t>
  </si>
  <si>
    <t>Derezińska Katarzyna [KE]</t>
  </si>
  <si>
    <t>Sobczak Anna [So]</t>
  </si>
  <si>
    <t>Techniki fryzjerskie</t>
  </si>
  <si>
    <t>inne obowiązki w szkole (z uczniami)</t>
  </si>
  <si>
    <t>4TH</t>
  </si>
  <si>
    <t>Symulacyjna firma handlowa</t>
  </si>
  <si>
    <t>Skarupa Agnieszka [Sa]</t>
  </si>
  <si>
    <t>Socha Dariusz [DS]</t>
  </si>
  <si>
    <t>Marketing w działalności handlowej</t>
  </si>
  <si>
    <t>11:25</t>
  </si>
  <si>
    <t>12:10</t>
  </si>
  <si>
    <t>3CA</t>
  </si>
  <si>
    <t>Historia</t>
  </si>
  <si>
    <t>Hudziec Agnieszka [AH]</t>
  </si>
  <si>
    <t>Chemia</t>
  </si>
  <si>
    <t>12:25</t>
  </si>
  <si>
    <t>13:10</t>
  </si>
  <si>
    <t>Granatowska Mariola [MG]</t>
  </si>
  <si>
    <t>Język angielski</t>
  </si>
  <si>
    <t>2K</t>
  </si>
  <si>
    <t>Mucha Anna [MU]</t>
  </si>
  <si>
    <t>Biologia</t>
  </si>
  <si>
    <t>Zajęcia z wychowawcą</t>
  </si>
  <si>
    <t>Stępień Krystyna [KS]</t>
  </si>
  <si>
    <t>Bokuniewicz Sylwia [Bo]</t>
  </si>
  <si>
    <t>Zwolnienie lekarskie</t>
  </si>
  <si>
    <t>3K</t>
  </si>
  <si>
    <t>Mocarski Arkadiusz [Mr]</t>
  </si>
  <si>
    <t>Technika w produkcji gastronomicznej</t>
  </si>
  <si>
    <t>13:15</t>
  </si>
  <si>
    <t>14:00</t>
  </si>
  <si>
    <t>Sałdyka Karolina [Sp]</t>
  </si>
  <si>
    <t>14:05</t>
  </si>
  <si>
    <t>14:50</t>
  </si>
  <si>
    <t>Kończyńska Małgorzata [MK]</t>
  </si>
  <si>
    <t>2S</t>
  </si>
  <si>
    <t>Filipek Anna [FA]</t>
  </si>
  <si>
    <t>2WB</t>
  </si>
  <si>
    <t>Jastrzębska-Majtyka Agnieszka [JA]</t>
  </si>
  <si>
    <t>Rozwój zainteresowań i kreatywności - obsługa klienta</t>
  </si>
  <si>
    <t>14:55</t>
  </si>
  <si>
    <t>15:40</t>
  </si>
  <si>
    <t>2FC</t>
  </si>
  <si>
    <t>Rozwój kompetencji zawodowych - barber</t>
  </si>
  <si>
    <t>3S</t>
  </si>
  <si>
    <t>Krzemińska Beata [BK]</t>
  </si>
  <si>
    <t>Doradztwo zawodowe</t>
  </si>
  <si>
    <t>15:45</t>
  </si>
  <si>
    <t>16:30</t>
  </si>
  <si>
    <t>3M</t>
  </si>
  <si>
    <t>Ramut Marian [Ra]</t>
  </si>
  <si>
    <t>Budowa i naprawa pojazdów samochodowych</t>
  </si>
  <si>
    <t>07:55</t>
  </si>
  <si>
    <t>08:00</t>
  </si>
  <si>
    <t>Dyżur</t>
  </si>
  <si>
    <t>boisko - dziedziniec wejściowy/boisko</t>
  </si>
  <si>
    <t>Filiczak Agnieszka [Fi]</t>
  </si>
  <si>
    <t>piętro_2</t>
  </si>
  <si>
    <t>bramka wejściowa</t>
  </si>
  <si>
    <t>piętro_3</t>
  </si>
  <si>
    <t>Leńczowska Iwona [IL]</t>
  </si>
  <si>
    <t>Danielewski Paweł [DP]</t>
  </si>
  <si>
    <t>Ostrowska Ewa [EO]</t>
  </si>
  <si>
    <t>16:35</t>
  </si>
  <si>
    <t>Bujanowska Iwona [BI]</t>
  </si>
  <si>
    <t>17:20</t>
  </si>
  <si>
    <t>17:25</t>
  </si>
  <si>
    <t>08:45</t>
  </si>
  <si>
    <t>2FA</t>
  </si>
  <si>
    <t>Uczniowie przychodzą później</t>
  </si>
  <si>
    <t>Organizacja sprzedaży</t>
  </si>
  <si>
    <t>Uczniowie zwolnieni do domu</t>
  </si>
  <si>
    <t>Obsługa klienta</t>
  </si>
  <si>
    <t>2CB</t>
  </si>
  <si>
    <t>3FA</t>
  </si>
  <si>
    <t>2TH</t>
  </si>
  <si>
    <t>2CA</t>
  </si>
  <si>
    <t>2TFA|JA1</t>
  </si>
  <si>
    <t>Najwer Maciej [MN]</t>
  </si>
  <si>
    <t>1TFA</t>
  </si>
  <si>
    <t>1TFA|JA1</t>
  </si>
  <si>
    <t>4TFB</t>
  </si>
  <si>
    <t>1FC</t>
  </si>
  <si>
    <t>1TFB</t>
  </si>
  <si>
    <t>1WA</t>
  </si>
  <si>
    <t>1WA|JN2</t>
  </si>
  <si>
    <t>Młynarczyk Paweł [PM]</t>
  </si>
  <si>
    <t>Urlop bezpłatny</t>
  </si>
  <si>
    <t>Zajęcia praktyczne - projektowanie i wykonywanie fryzur</t>
  </si>
  <si>
    <t>1FC|JA2</t>
  </si>
  <si>
    <t>1CB</t>
  </si>
  <si>
    <t>1CB|JA2</t>
  </si>
  <si>
    <t>1S</t>
  </si>
  <si>
    <t>1S|JA2</t>
  </si>
  <si>
    <t>10:20</t>
  </si>
  <si>
    <t>Dziennik zajęć innych</t>
  </si>
  <si>
    <t>Krystian Pietrowski - 3M - indywidualne nauczanie</t>
  </si>
  <si>
    <t>Mateusz Wisiński - 1TH - indywidualne nauczanie</t>
  </si>
  <si>
    <t>Przedmioty zawodowe</t>
  </si>
  <si>
    <t>10:00</t>
  </si>
  <si>
    <t>12:00</t>
  </si>
  <si>
    <t>T - współorganizowanie kształcenia uczniów</t>
  </si>
  <si>
    <t>Współorganizowanie dla uczniów z orzeczeniem o potrzebie kształcenia specjalnego ze względu na diagnozę autyzmu.</t>
  </si>
  <si>
    <t>Kaszak Maria [ME]</t>
  </si>
  <si>
    <t>Małgorzata Wiśniewska - 3CA - indywidualne nauczanie</t>
  </si>
  <si>
    <t>17:00</t>
  </si>
  <si>
    <t>dziennik pedagoga specjalnego - Maria Kaszak</t>
  </si>
  <si>
    <t>dyżur pedagoga specjalnego</t>
  </si>
  <si>
    <t>przedmioty zawodowe</t>
  </si>
  <si>
    <t>Katarzyna Majewska -  2S - indywidualne nauczanie</t>
  </si>
  <si>
    <t>Jęezyk polski</t>
  </si>
  <si>
    <t>parter</t>
  </si>
  <si>
    <t>Rok szkolny: 2025/2026</t>
  </si>
  <si>
    <t>Okres: 11.05.2026 (pon.) - 17.05.2026 (niedz.)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</si>
</sst>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\.yyyy"/>
    <numFmt numFmtId="177" formatCode="dd.MM.yyyy"/>
    <numFmt numFmtId="178" formatCode="0.00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sz val="22"/>
      <color theme="4" tint="-0.249970003962517"/>
      <name val="Calibri"/>
      <family val="2"/>
      <charset val="238"/>
      <scheme val="minor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14">
    <xf numFmtId="0" fontId="0" fillId="0" borderId="0" xfId="0" applyFont="1"/>
    <xf numFmtId="0" fontId="5" fillId="0" borderId="0" xfId="0" applyAlignment="1">
      <alignment textRotation="90"/>
    </xf>
    <xf numFmtId="0" fontId="5" fillId="0" borderId="0" xfId="0" applyAlignment="1">
      <alignment wrapText="1"/>
    </xf>
    <xf numFmtId="0" fontId="5" fillId="0" borderId="0" xfId="0" applyAlignment="1">
      <alignment textRotation="90" wrapText="1"/>
    </xf>
    <xf numFmtId="0" fontId="2" fillId="0" borderId="0" xfId="0" applyFont="1"/>
    <xf numFmtId="0" fontId="5" fillId="0" borderId="0" xfId="0"/>
    <xf numFmtId="0" fontId="5" fillId="0" borderId="0" xfId="0" applyAlignment="1">
      <alignment horizontal="left"/>
    </xf>
    <xf numFmtId="0" fontId="5" fillId="0" borderId="0" xfId="0" applyAlignment="1">
      <alignment horizontal="left" indent="1"/>
    </xf>
    <xf numFmtId="10" fontId="5" fillId="0" borderId="0" xfId="0" applyNumberFormat="1"/>
    <xf numFmtId="164" fontId="0" fillId="0" borderId="0" xfId="20" applyNumberFormat="1" applyAlignment="1">
      <alignment horizontal="left"/>
      <protection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0" fontId="0" fillId="2" borderId="0" xfId="0" applyFont="1" applyFill="1" applyAlignment="1">
      <alignment horizontal="left" vertical="center"/>
    </xf>
    <xf numFmtId="177" fontId="0" fillId="0" borderId="0" xfId="0" applyNumberFormat="1" applyFont="1" applyAlignment="1">
      <alignment horizontal="left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ny 2" xfId="20"/>
  </cellStyles>
  <dxfs count="2">
    <dxf>
      <font>
        <b/>
        <i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medium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1" defaultTableStyle="TableStyleMedium2" defaultPivotStyle="PivotStyleLight16">
    <tableStyle name="Tabela z krawędziami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externalLink" Target="externalLinks/externalLink2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pivotCacheDefinition" Target="pivotCache/pivotCacheDefinition4.xml" /><Relationship Id="rId9" Type="http://schemas.openxmlformats.org/officeDocument/2006/relationships/worksheet" Target="worksheets/sheet4.xml" /><Relationship Id="rId6" Type="http://schemas.openxmlformats.org/officeDocument/2006/relationships/worksheet" Target="worksheets/sheet1.xml" /><Relationship Id="rId15" Type="http://schemas.openxmlformats.org/officeDocument/2006/relationships/externalLink" Target="externalLinks/externalLink1.xml" /><Relationship Id="rId2" Type="http://schemas.openxmlformats.org/officeDocument/2006/relationships/pivotCacheDefinition" Target="pivotCache/pivotCacheDefinition1.xml" /><Relationship Id="rId4" Type="http://schemas.openxmlformats.org/officeDocument/2006/relationships/pivotCacheDefinition" Target="pivotCache/pivotCacheDefinition3.xml" /><Relationship Id="rId10" Type="http://schemas.openxmlformats.org/officeDocument/2006/relationships/worksheet" Target="worksheets/sheet5.xml" /><Relationship Id="rId11" Type="http://schemas.openxmlformats.org/officeDocument/2006/relationships/worksheet" Target="worksheets/sheet6.xml" /><Relationship Id="rId12" Type="http://schemas.openxmlformats.org/officeDocument/2006/relationships/worksheet" Target="worksheets/sheet7.xml" /><Relationship Id="rId13" Type="http://schemas.openxmlformats.org/officeDocument/2006/relationships/styles" Target="styles.xml" /><Relationship Id="rId3" Type="http://schemas.openxmlformats.org/officeDocument/2006/relationships/pivotCacheDefinition" Target="pivotCache/pivotCacheDefinition2.xml" /><Relationship Id="rId7" Type="http://schemas.openxmlformats.org/officeDocument/2006/relationships/worksheet" Target="worksheets/sheet2.xml" /><Relationship Id="rId8" Type="http://schemas.openxmlformats.org/officeDocument/2006/relationships/worksheet" Target="worksheets/sheet3.xml" /></Relationships>
</file>

<file path=xl/externalLinks/_rels/externalLink1.xml.rels><?xml version="1.0" encoding="UTF-8" standalone="yes"?><Relationships xmlns="http://schemas.openxmlformats.org/package/2006/relationships"><Relationship Id="rId1" Type="http://schemas.microsoft.com/office/2006/relationships/xlExternalLinkPath/xlPathMissing" Target="zast&#281;pstwa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microsoft.com/office/2006/relationships/xlExternalLinkPath/xlPathMissing" Target="nieobecno&#347;ci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astępstwa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ieobecności"/>
    </sheetNames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8" refreshedVersion="8" minRefreshableVersion="3" refreshOnLoad="1" saveData="0" refreshedBy="Paweł Kalwik" refreshedDate="46152.841682591" recordCount="0">
  <cacheSource type="worksheet">
    <worksheetSource ref="A1:M57" sheet="Dane nieobecności"/>
  </cacheSource>
  <cacheFields count="15">
    <cacheField name="Data" numFmtId="164">
      <sharedItems containsSemiMixedTypes="0" containsNonDate="0" containsDate="1" containsString="0" minDate="2000-09-01T00:00:00" maxDate="2000-09-02T00:00:00" count="1">
        <d v="2000-09-01T00:00:00.000"/>
      </sharedItems>
      <fieldGroup par="14" base="0">
        <rangePr groupBy="months" autoEnd="1" autoStart="1" startDate="2000-09-01T00:00:00.000" endDate="2000-09-02T00:00:00.000"/>
        <groupItems count="14">
          <s v="&lt;01.09.200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2.09.2000"/>
        </groupItems>
      </fieldGroup>
    </cacheField>
    <cacheField name="Godzina od" numFmtId="0">
      <sharedItems containsSemiMixedTypes="0" containsString="0" containsBlank="1" containsMixedTypes="1" count="0"/>
    </cacheField>
    <cacheField name="Godzina do" numFmtId="0">
      <sharedItems containsSemiMixedTypes="0" containsString="0" containsBlank="1" containsMixedTypes="1" count="0"/>
    </cacheField>
    <cacheField name="Numer lekcji" numFmtId="0">
      <sharedItems containsSemiMixedTypes="0" containsString="0" containsBlank="1" containsMixedTypes="1" count="0"/>
    </cacheField>
    <cacheField name="Liczba godzin/liczba" numFmtId="0">
      <sharedItems containsSemiMixedTypes="0" containsString="0" containsBlank="1" containsMixedTypes="1" count="0"/>
    </cacheField>
    <cacheField name="Typ danych" numFmtId="0">
      <sharedItems containsString="0" containsBlank="1" count="1">
        <m/>
      </sharedItems>
    </cacheField>
    <cacheField name="Oddział/dziennik/grupa/miejsce dyżuru" numFmtId="0">
      <sharedItems containsString="0" containsBlank="1" count="1">
        <m/>
      </sharedItems>
    </cacheField>
    <cacheField name="Oddział/dziennik/grupa/miejsce dyżuru z podziałem" numFmtId="0">
      <sharedItems containsSemiMixedTypes="0" containsString="0" containsBlank="1" containsMixedTypes="1" count="0"/>
    </cacheField>
    <cacheField name="Nazwa zajęć" numFmtId="0">
      <sharedItems containsString="0" containsBlank="1" count="1">
        <m/>
      </sharedItems>
    </cacheField>
    <cacheField name="Prowadzący" numFmtId="0">
      <sharedItems containsString="0" containsBlank="1" count="1">
        <m/>
      </sharedItems>
    </cacheField>
    <cacheField name="Główny prowadzący" numFmtId="0">
      <sharedItems containsSemiMixedTypes="0" containsString="0" containsBlank="1" containsMixedTypes="1" count="0"/>
    </cacheField>
    <cacheField name="Powód nieobecności" numFmtId="0">
      <sharedItems containsSemiMixedTypes="0" containsString="0" containsBlank="1" containsMixedTypes="1" count="0"/>
    </cacheField>
    <cacheField name="Skutek nieobecności" numFmtId="0">
      <sharedItems containsString="0" containsBlank="1" count="1">
        <m/>
      </sharedItems>
    </cacheField>
    <cacheField name="Kwartały" numFmtId="0" databaseField="0">
      <sharedItems count="0"/>
      <fieldGroup base="0">
        <rangePr groupBy="quarters" autoEnd="1" autoStart="1" startDate="2000-09-01T00:00:00.000" endDate="2000-09-02T00:00:00.000"/>
        <groupItems count="6">
          <s v="&lt;01.09.2000"/>
          <s v="Kwartał1"/>
          <s v="Kwartał2"/>
          <s v="Kwartał3"/>
          <s v="Kwartał4"/>
          <s v="&gt;02.09.2000"/>
        </groupItems>
      </fieldGroup>
    </cacheField>
    <cacheField name="Lata" numFmtId="0" databaseField="0">
      <sharedItems count="0"/>
      <fieldGroup base="0">
        <rangePr groupBy="years" autoEnd="1" autoStart="1" startDate="2000-09-01T00:00:00.000" endDate="2000-09-02T00:00:00.000"/>
        <groupItems count="3">
          <s v="&lt;01.09.2000"/>
          <s v="2000"/>
          <s v="&gt;02.09.2000"/>
        </groupItems>
      </fieldGroup>
    </cacheField>
  </cacheFields>
  <extLst>
    <ext xmlns:x14="http://schemas.microsoft.com/office/spreadsheetml/2009/9/main" uri="{725AE2AE-9491-48be-B2B4-4EB974FC3084}">
      <x14:pivotCacheDefinition pivotCacheId="88102081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8" refreshedVersion="8" minRefreshableVersion="3" refreshOnLoad="1" saveData="0" refreshedBy="Paweł Kalwik" refreshedDate="46152.8416825447" recordCount="0">
  <cacheSource type="worksheet">
    <worksheetSource ref="A1:R33" sheet="Dane zastępstwa"/>
  </cacheSource>
  <cacheFields count="19">
    <cacheField name="Data" numFmtId="0">
      <sharedItems containsSemiMixedTypes="0" containsString="0" containsBlank="1" containsMixedTypes="1" count="0"/>
    </cacheField>
    <cacheField name="Godzina od" numFmtId="0">
      <sharedItems containsSemiMixedTypes="0" containsString="0" containsBlank="1" containsMixedTypes="1" count="0"/>
    </cacheField>
    <cacheField name="Godzina do" numFmtId="0">
      <sharedItems containsSemiMixedTypes="0" containsString="0" containsBlank="1" containsMixedTypes="1" count="0"/>
    </cacheField>
    <cacheField name="Numer lekcji" numFmtId="0">
      <sharedItems containsSemiMixedTypes="0" containsString="0" containsBlank="1" containsMixedTypes="1" count="0"/>
    </cacheField>
    <cacheField name="Liczba godzin/liczba" numFmtId="0">
      <sharedItems containsSemiMixedTypes="0" containsString="0" containsBlank="1" containsMixedTypes="1" count="0"/>
    </cacheField>
    <cacheField name="Typ danych" numFmtId="0">
      <sharedItems containsString="0" containsBlank="1" count="1">
        <m/>
      </sharedItems>
    </cacheField>
    <cacheField name="Oddział/dziennik/grupa/miejsce dyżuru" numFmtId="0">
      <sharedItems containsString="0" containsBlank="1" count="1">
        <m/>
      </sharedItems>
    </cacheField>
    <cacheField name="Oddział/dziennik/grupa/miejsce dyżuru z podziałem" numFmtId="0">
      <sharedItems containsString="0" containsBlank="1" count="1">
        <m/>
      </sharedItems>
    </cacheField>
    <cacheField name="Nazwa zajęć" numFmtId="0">
      <sharedItems containsString="0" containsBlank="1" count="1">
        <m/>
      </sharedItems>
    </cacheField>
    <cacheField name="Prowadzący" numFmtId="0">
      <sharedItems containsString="0" containsBlank="1" count="1">
        <m/>
      </sharedItems>
    </cacheField>
    <cacheField name="Główny prowadzący" numFmtId="0">
      <sharedItems containsSemiMixedTypes="0" containsString="0" containsBlank="1" containsMixedTypes="1" count="0"/>
    </cacheField>
    <cacheField name="Zastępstwo" numFmtId="0">
      <sharedItems containsSemiMixedTypes="0" containsString="0" containsBlank="1" containsMixedTypes="1" count="0"/>
    </cacheField>
    <cacheField name="Realizowana nazwa zajęć" numFmtId="0">
      <sharedItems containsString="0" containsBlank="1" count="1">
        <m/>
      </sharedItems>
    </cacheField>
    <cacheField name="Powód nieobecności" numFmtId="0">
      <sharedItems containsSemiMixedTypes="0" containsString="0" containsBlank="1" containsMixedTypes="1" count="0"/>
    </cacheField>
    <cacheField name="Skutek nieobecności" numFmtId="0">
      <sharedItems containsSemiMixedTypes="0" containsString="0" containsBlank="1" containsMixedTypes="1" count="0"/>
    </cacheField>
    <cacheField name="Forma zastępstwa" numFmtId="0">
      <sharedItems containsString="0" containsBlank="1" count="1">
        <m/>
      </sharedItems>
    </cacheField>
    <cacheField name="Forma płatności" numFmtId="0">
      <sharedItems containsSemiMixedTypes="0" containsString="0" containsBlank="1" containsMixedTypes="1" count="0"/>
    </cacheField>
    <cacheField name="Typ płatności" numFmtId="0">
      <sharedItems containsSemiMixedTypes="0" containsString="0" containsBlank="1" containsMixedTypes="1" count="0"/>
    </cacheField>
    <cacheField name="Liczba godzin/liczba %" numFmtId="0" formula="'Liczba godzin/liczba'" databaseField="0"/>
  </cacheFields>
  <extLst>
    <ext xmlns:x14="http://schemas.microsoft.com/office/spreadsheetml/2009/9/main" uri="{725AE2AE-9491-48be-B2B4-4EB974FC3084}">
      <x14:pivotCacheDefinition pivotCacheId="52571701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createdVersion="8" refreshedVersion="8" minRefreshableVersion="3" refreshOnLoad="1" saveData="0" refreshedBy="Paweł Kalwik" refreshedDate="46152.8416825447" recordCount="0">
  <cacheSource type="worksheet">
    <worksheetSource ref="A1:R33" sheet="Dane zastępstwa"/>
  </cacheSource>
  <cacheFields count="19">
    <cacheField name="Data" numFmtId="0">
      <sharedItems containsSemiMixedTypes="0" containsString="0" containsBlank="1" containsMixedTypes="1" count="0"/>
    </cacheField>
    <cacheField name="Godzina od" numFmtId="0">
      <sharedItems containsSemiMixedTypes="0" containsString="0" containsBlank="1" containsMixedTypes="1" count="0"/>
    </cacheField>
    <cacheField name="Godzina do" numFmtId="0">
      <sharedItems containsSemiMixedTypes="0" containsString="0" containsBlank="1" containsMixedTypes="1" count="0"/>
    </cacheField>
    <cacheField name="Numer lekcji" numFmtId="0">
      <sharedItems containsSemiMixedTypes="0" containsString="0" containsBlank="1" containsMixedTypes="1" count="0"/>
    </cacheField>
    <cacheField name="Liczba godzin/liczba" numFmtId="0">
      <sharedItems containsSemiMixedTypes="0" containsString="0" containsBlank="1" containsMixedTypes="1" count="0"/>
    </cacheField>
    <cacheField name="Typ danych" numFmtId="0">
      <sharedItems containsString="0" containsBlank="1" count="1">
        <m/>
      </sharedItems>
    </cacheField>
    <cacheField name="Oddział/dziennik/grupa/miejsce dyżuru" numFmtId="0">
      <sharedItems containsString="0" containsBlank="1" count="1">
        <m/>
      </sharedItems>
    </cacheField>
    <cacheField name="Oddział/dziennik/grupa/miejsce dyżuru z podziałem" numFmtId="0">
      <sharedItems containsString="0" containsBlank="1" count="1">
        <m/>
      </sharedItems>
    </cacheField>
    <cacheField name="Nazwa zajęć" numFmtId="0">
      <sharedItems containsString="0" containsBlank="1" count="1">
        <m/>
      </sharedItems>
    </cacheField>
    <cacheField name="Prowadzący" numFmtId="0">
      <sharedItems containsString="0" containsBlank="1" count="1">
        <m/>
      </sharedItems>
    </cacheField>
    <cacheField name="Główny prowadzący" numFmtId="0">
      <sharedItems containsSemiMixedTypes="0" containsString="0" containsBlank="1" containsMixedTypes="1" count="0"/>
    </cacheField>
    <cacheField name="Zastępstwo" numFmtId="0">
      <sharedItems containsSemiMixedTypes="0" containsString="0" containsBlank="1" containsMixedTypes="1" count="0"/>
    </cacheField>
    <cacheField name="Realizowana nazwa zajęć" numFmtId="0">
      <sharedItems containsString="0" containsBlank="1" count="1">
        <m/>
      </sharedItems>
    </cacheField>
    <cacheField name="Powód nieobecności" numFmtId="0">
      <sharedItems containsSemiMixedTypes="0" containsString="0" containsBlank="1" containsMixedTypes="1" count="0"/>
    </cacheField>
    <cacheField name="Skutek nieobecności" numFmtId="0">
      <sharedItems containsSemiMixedTypes="0" containsString="0" containsBlank="1" containsMixedTypes="1" count="0"/>
    </cacheField>
    <cacheField name="Forma zastępstwa" numFmtId="0">
      <sharedItems containsString="0" containsBlank="1" count="1">
        <m/>
      </sharedItems>
    </cacheField>
    <cacheField name="Forma płatności" numFmtId="0">
      <sharedItems containsSemiMixedTypes="0" containsString="0" containsBlank="1" containsMixedTypes="1" count="0"/>
    </cacheField>
    <cacheField name="Typ płatności" numFmtId="0">
      <sharedItems containsSemiMixedTypes="0" containsString="0" containsBlank="1" containsMixedTypes="1" count="0"/>
    </cacheField>
    <cacheField name="Liczba godzin/liczba %" numFmtId="0" formula="'Liczba godzin/liczba'" databaseField="0"/>
  </cacheFields>
  <extLst>
    <ext xmlns:x14="http://schemas.microsoft.com/office/spreadsheetml/2009/9/main" uri="{725AE2AE-9491-48be-B2B4-4EB974FC3084}">
      <x14:pivotCacheDefinition pivotCacheId="52571701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createdVersion="8" refreshedVersion="8" minRefreshableVersion="3" refreshOnLoad="1" saveData="0" refreshedBy="Paweł Kalwik" refreshedDate="46152.8416825447" recordCount="0">
  <cacheSource type="worksheet">
    <worksheetSource ref="A1:R33" sheet="Dane zastępstwa"/>
  </cacheSource>
  <cacheFields count="19">
    <cacheField name="Data" numFmtId="0">
      <sharedItems containsSemiMixedTypes="0" containsString="0" containsBlank="1" containsMixedTypes="1" count="0"/>
    </cacheField>
    <cacheField name="Godzina od" numFmtId="0">
      <sharedItems containsSemiMixedTypes="0" containsString="0" containsBlank="1" containsMixedTypes="1" count="0"/>
    </cacheField>
    <cacheField name="Godzina do" numFmtId="0">
      <sharedItems containsSemiMixedTypes="0" containsString="0" containsBlank="1" containsMixedTypes="1" count="0"/>
    </cacheField>
    <cacheField name="Numer lekcji" numFmtId="0">
      <sharedItems containsSemiMixedTypes="0" containsString="0" containsBlank="1" containsMixedTypes="1" count="0"/>
    </cacheField>
    <cacheField name="Liczba godzin/liczba" numFmtId="0">
      <sharedItems containsSemiMixedTypes="0" containsString="0" containsBlank="1" containsMixedTypes="1" count="0"/>
    </cacheField>
    <cacheField name="Typ danych" numFmtId="0">
      <sharedItems containsString="0" containsBlank="1" count="1">
        <m/>
      </sharedItems>
    </cacheField>
    <cacheField name="Oddział/dziennik/grupa/miejsce dyżuru" numFmtId="0">
      <sharedItems containsString="0" containsBlank="1" count="1">
        <m/>
      </sharedItems>
    </cacheField>
    <cacheField name="Oddział/dziennik/grupa/miejsce dyżuru z podziałem" numFmtId="0">
      <sharedItems containsString="0" containsBlank="1" count="1">
        <m/>
      </sharedItems>
    </cacheField>
    <cacheField name="Nazwa zajęć" numFmtId="0">
      <sharedItems containsString="0" containsBlank="1" count="1">
        <m/>
      </sharedItems>
    </cacheField>
    <cacheField name="Prowadzący" numFmtId="0">
      <sharedItems containsString="0" containsBlank="1" count="1">
        <m/>
      </sharedItems>
    </cacheField>
    <cacheField name="Główny prowadzący" numFmtId="0">
      <sharedItems containsSemiMixedTypes="0" containsString="0" containsBlank="1" containsMixedTypes="1" count="0"/>
    </cacheField>
    <cacheField name="Zastępstwo" numFmtId="0">
      <sharedItems containsSemiMixedTypes="0" containsString="0" containsBlank="1" containsMixedTypes="1" count="0"/>
    </cacheField>
    <cacheField name="Realizowana nazwa zajęć" numFmtId="0">
      <sharedItems containsString="0" containsBlank="1" count="1">
        <m/>
      </sharedItems>
    </cacheField>
    <cacheField name="Powód nieobecności" numFmtId="0">
      <sharedItems containsSemiMixedTypes="0" containsString="0" containsBlank="1" containsMixedTypes="1" count="0"/>
    </cacheField>
    <cacheField name="Skutek nieobecności" numFmtId="0">
      <sharedItems containsSemiMixedTypes="0" containsString="0" containsBlank="1" containsMixedTypes="1" count="0"/>
    </cacheField>
    <cacheField name="Forma zastępstwa" numFmtId="0">
      <sharedItems containsString="0" containsBlank="1" count="1">
        <m/>
      </sharedItems>
    </cacheField>
    <cacheField name="Forma płatności" numFmtId="0">
      <sharedItems containsSemiMixedTypes="0" containsString="0" containsBlank="1" containsMixedTypes="1" count="0"/>
    </cacheField>
    <cacheField name="Typ płatności" numFmtId="0">
      <sharedItems containsSemiMixedTypes="0" containsString="0" containsBlank="1" containsMixedTypes="1" count="0"/>
    </cacheField>
    <cacheField name="Liczba godzin/liczba %" numFmtId="0" formula="'Liczba godzin/liczba'" databaseField="0"/>
  </cacheFields>
  <extLst>
    <ext xmlns:x14="http://schemas.microsoft.com/office/spreadsheetml/2009/9/main" uri="{725AE2AE-9491-48be-B2B4-4EB974FC3084}">
      <x14:pivotCacheDefinition pivotCacheId="525717013"/>
    </ext>
  </extLst>
</pivotCacheDefinition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pivotTable1.xml><?xml version="1.0" encoding="utf-8"?>
<pivotTableDefinition xmlns="http://schemas.openxmlformats.org/spreadsheetml/2006/main" name="Tabela przestawna1" cacheId="1" applyNumberFormats="0" applyBorderFormats="0" applyFontFormats="0" applyPatternFormats="0" applyAlignmentFormats="0" applyWidthHeightFormats="1" dataCaption="Wartości" showMissing="1" preserveFormatting="1" useAutoFormatting="1" pageWrap="3" itemPrintTitles="1" outline="1" outlineData="1" createdVersion="8" updatedVersion="8" indent="0" multipleFieldFilters="0" showMemberPropertyTips="1">
  <location ref="A7:C12" firstHeaderRow="1" firstDataRow="3" firstDataCol="1" rowPageCount="3" colPageCount="1"/>
  <pivotFields count="15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axis="axisPage" showAll="0" multipleItemSelectionAllowed="1">
      <items count="2">
        <item x="0"/>
        <item t="default"/>
      </items>
    </pivotField>
    <pivotField axis="axisPage" showAll="0" multipleItemSelectionAllowed="1">
      <items count="2">
        <item x="0"/>
        <item t="default"/>
      </items>
    </pivotField>
    <pivotField showAll="0"/>
    <pivotField axis="axisRow" showAll="0" sortType="ascending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showAll="0"/>
    <pivotField axis="axisPage" showAll="0" multipleItemSelectionAllowed="1">
      <items count="2">
        <item x="0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 sortType="ascending">
      <items count="4">
        <item sd="0" x="1"/>
        <item sd="0" x="0"/>
        <item sd="0" x="2"/>
        <item t="default"/>
      </items>
    </pivotField>
  </pivotFields>
  <rowFields count="2">
    <field x="9"/>
    <field x="8"/>
  </rowFields>
  <rowItems count="3">
    <i>
      <x/>
    </i>
    <i r="1">
      <x/>
    </i>
    <i t="grand">
      <x/>
    </i>
  </rowItems>
  <colFields count="2">
    <field x="14"/>
    <field x="0"/>
  </colFields>
  <colItems count="2">
    <i>
      <x/>
    </i>
    <i t="grand">
      <x/>
    </i>
  </colItems>
  <pageFields count="3">
    <pageField fld="12" hier="-1"/>
    <pageField fld="6" hier="-1"/>
    <pageField fld="5" hier="-1"/>
  </pageFields>
  <dataFields count="1">
    <dataField name="Suma z Liczba godzin/liczba" fld="4" baseField="9" baseItem="0" numFmtId="178"/>
  </dataFields>
  <pivotTableStyleInfo name="PivotStyleLight20" showRowHeaders="1" showColHeaders="1" showRowStripes="1" showColStripes="0" showLastColumn="1"/>
  <extLst>
    <ext xmlns:x14="http://schemas.microsoft.com/office/spreadsheetml/2009/9/main" uri="{962EF5D1-5CA2-4c93-8EF4-DBF5C05439D2}">
      <x14:pivotTableDefinition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przestawna3" cacheId="2" applyNumberFormats="0" applyBorderFormats="0" applyFontFormats="0" applyPatternFormats="0" applyAlignmentFormats="0" applyWidthHeightFormats="1" dataCaption="Wartości" showMissing="1" preserveFormatting="1" useAutoFormatting="1" itemPrintTitles="1" outline="1" outlineData="1" createdVersion="8" updatedVersion="8" indent="0" multipleFieldFilters="0" showMemberPropertyTips="1">
  <location ref="A3:E8" firstHeaderRow="1" firstDataRow="3" firstDataCol="1"/>
  <pivotFields count="19"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2">
        <item x="0"/>
        <item t="default"/>
      </items>
    </pivotField>
    <pivotField showAll="0"/>
    <pivotField axis="axisRow" showAll="0" sortType="ascending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ascending">
      <items count="2">
        <item x="0"/>
        <item t="default"/>
      </items>
    </pivotField>
    <pivotField showAll="0"/>
    <pivotField showAll="0"/>
    <pivotField dataField="1" showAll="0" dragToRow="0" dragToCol="0" dragToPage="0" defaultSubtotal="0"/>
  </pivotFields>
  <rowFields count="2">
    <field x="8"/>
    <field x="6"/>
  </rowFields>
  <rowItems count="3">
    <i>
      <x/>
    </i>
    <i r="1">
      <x/>
    </i>
    <i t="grand">
      <x/>
    </i>
  </rowItems>
  <colFields count="2">
    <field x="15"/>
    <field x="-2"/>
  </colFields>
  <colItems count="4">
    <i>
      <x/>
      <x/>
    </i>
    <i i="1" r="1">
      <x v="1"/>
    </i>
    <i t="grand">
      <x/>
    </i>
    <i t="grand" i="1">
      <x/>
    </i>
  </colItems>
  <dataFields count="2">
    <dataField name="Suma z Liczba godzin/liczba" fld="4" baseField="8" baseItem="0" numFmtId="178"/>
    <dataField name="Suma z Liczba godzin/liczba %" fld="18" showDataAs="percentOfRow" baseField="8" baseItem="0" numFmtId="10"/>
  </dataFields>
  <pivotTableStyleInfo name="PivotStyleLight20" showRowHeaders="1" showColHeaders="1" showRowStripes="1" showColStripes="0" showLastColumn="1"/>
  <extLst>
    <ext xmlns:x14="http://schemas.microsoft.com/office/spreadsheetml/2009/9/main" uri="{962EF5D1-5CA2-4c93-8EF4-DBF5C05439D2}">
      <x14:pivotTableDefinition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przestawna4" cacheId="4" applyNumberFormats="0" applyBorderFormats="0" applyFontFormats="0" applyPatternFormats="0" applyAlignmentFormats="0" applyWidthHeightFormats="1" dataCaption="Wartości" showMissing="1" preserveFormatting="1" useAutoFormatting="1" itemPrintTitles="1" outline="1" outlineData="1" createdVersion="8" updatedVersion="8" indent="0" multipleFieldFilters="0" showMemberPropertyTips="1">
  <location ref="A3:E8" firstHeaderRow="1" firstDataRow="3" firstDataCol="1"/>
  <pivotFields count="19"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2">
        <item x="0"/>
        <item t="default"/>
      </items>
    </pivotField>
    <pivotField showAll="0"/>
    <pivotField axis="axisRow" showAll="0" sortType="ascending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 sortType="ascending">
      <items count="2">
        <item x="0"/>
        <item t="default"/>
      </items>
    </pivotField>
    <pivotField showAll="0"/>
    <pivotField showAll="0"/>
    <pivotField dataField="1" showAll="0" dragToRow="0" dragToCol="0" dragToPage="0" defaultSubtotal="0"/>
  </pivotFields>
  <rowFields count="2">
    <field x="6"/>
    <field x="8"/>
  </rowFields>
  <rowItems count="3">
    <i>
      <x/>
    </i>
    <i r="1">
      <x/>
    </i>
    <i t="grand">
      <x/>
    </i>
  </rowItems>
  <colFields count="2">
    <field x="15"/>
    <field x="-2"/>
  </colFields>
  <colItems count="4">
    <i>
      <x/>
      <x/>
    </i>
    <i i="1" r="1">
      <x v="1"/>
    </i>
    <i t="grand">
      <x/>
    </i>
    <i t="grand" i="1">
      <x/>
    </i>
  </colItems>
  <dataFields count="2">
    <dataField name="Suma z Liczba godzin/liczba" fld="4" baseField="6" baseItem="0" numFmtId="178"/>
    <dataField name="Suma z Liczba godzin/liczba %" fld="18" showDataAs="percentOfRow" baseField="6" baseItem="0" numFmtId="10"/>
  </dataFields>
  <pivotTableStyleInfo name="PivotStyleLight20" showRowHeaders="1" showColHeaders="1" showRowStripes="1" showColStripes="0" showLastColumn="1"/>
  <extLst>
    <ext xmlns:x14="http://schemas.microsoft.com/office/spreadsheetml/2009/9/main" uri="{962EF5D1-5CA2-4c93-8EF4-DBF5C05439D2}">
      <x14:pivotTableDefinition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przestawna5" cacheId="3" applyNumberFormats="0" applyBorderFormats="0" applyFontFormats="0" applyPatternFormats="0" applyAlignmentFormats="0" applyWidthHeightFormats="1" dataCaption="Wartości" showMissing="1" preserveFormatting="1" useAutoFormatting="1" pageWrap="3" itemPrintTitles="1" outline="1" outlineData="1" createdVersion="8" updatedVersion="8" indent="0" multipleFieldFilters="0" showMemberPropertyTips="1">
  <location ref="A7:E11" firstHeaderRow="1" firstDataRow="2" firstDataCol="3" rowPageCount="3" colPageCount="1"/>
  <pivotFields count="19">
    <pivotField showAll="0"/>
    <pivotField showAll="0"/>
    <pivotField showAll="0"/>
    <pivotField showAll="0"/>
    <pivotField dataField="1" showAll="0"/>
    <pivotField axis="axisPage" showAll="0" multipleItemSelectionAllowed="1">
      <items count="2">
        <item x="0"/>
        <item t="default"/>
      </items>
    </pivotField>
    <pivotField axis="axisPage" showAll="0" multipleItemSelectionAllowed="1">
      <items count="2">
        <item x="0"/>
        <item t="default"/>
      </items>
    </pivotField>
    <pivotField axis="axisPage" showAll="0" multipleItemSelectionAllowed="1">
      <items count="2">
        <item x="0"/>
        <item t="default"/>
      </items>
    </pivotField>
    <pivotField axis="axisRow" outline="0" showAll="0" sortType="ascending" defaultSubtotal="0">
      <items count="1">
        <item x="0"/>
      </items>
    </pivotField>
    <pivotField axis="axisRow" outline="0" showAll="0" sortType="ascending">
      <items count="2">
        <item x="0"/>
        <item t="default"/>
      </items>
    </pivotField>
    <pivotField showAll="0"/>
    <pivotField showAll="0"/>
    <pivotField axis="axisRow" outline="0" showAll="0" sortType="ascending">
      <items count="2">
        <item x="0"/>
        <item t="default"/>
      </items>
    </pivotField>
    <pivotField showAll="0"/>
    <pivotField showAll="0"/>
    <pivotField axis="axisCol" showAll="0" sortType="ascending">
      <items count="2">
        <item x="0"/>
        <item t="default"/>
      </items>
    </pivotField>
    <pivotField showAll="0"/>
    <pivotField showAll="0"/>
    <pivotField showAll="0" dragToRow="0" dragToCol="0" dragToPage="0" defaultSubtotal="0"/>
  </pivotFields>
  <rowFields count="3">
    <field x="9"/>
    <field x="8"/>
    <field x="12"/>
  </rowFields>
  <rowItems count="3">
    <i>
      <x/>
      <x/>
      <x/>
    </i>
    <i t="default">
      <x/>
    </i>
    <i t="grand">
      <x/>
    </i>
  </rowItems>
  <colFields count="1">
    <field x="15"/>
  </colFields>
  <colItems count="2">
    <i>
      <x/>
    </i>
    <i t="grand">
      <x/>
    </i>
  </colItems>
  <pageFields count="3">
    <pageField fld="5" hier="-1"/>
    <pageField fld="6" hier="-1"/>
    <pageField fld="7" hier="-1"/>
  </pageFields>
  <dataFields count="1">
    <dataField name="Suma z Liczba godzin/liczba" fld="4" baseField="12" baseItem="0" numFmtId="178"/>
  </dataFields>
  <pivotTableStyleInfo name="PivotStyleLight20" showRowHeaders="1" showColHeaders="1" showRowStripes="1" showColStripes="0" showLastColumn="1"/>
  <extLst>
    <ext xmlns:x14="http://schemas.microsoft.com/office/spreadsheetml/2009/9/main" uri="{962EF5D1-5CA2-4c93-8EF4-DBF5C05439D2}">
      <x14:pivotTableDefinition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ivotTable" Target="../pivotTables/pivotTable2.xml" /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 topLeftCell="A1"/>
  </sheetViews>
  <sheetFormatPr defaultColWidth="9.14428571428571" defaultRowHeight="15"/>
  <sheetData>
    <row r="1" spans="1:1" ht="15" customHeight="1">
      <c r="A1" t="s">
        <v>181</v>
      </c>
    </row>
    <row r="2" spans="1:1" ht="15" customHeight="1">
      <c r="A2" t="s">
        <v>182</v>
      </c>
    </row>
    <row r="3" ht="15" customHeight="1"/>
    <row r="4" ht="15" customHeight="1"/>
    <row r="5" spans="1:13" s="1" customFormat="1" ht="15" customHeight="1">
      <c r="A5"/>
      <c r="B5"/>
      <c r="C5"/>
      <c r="D5"/>
      <c r="E5"/>
      <c r="F5"/>
      <c r="G5"/>
      <c r="H5"/>
      <c r="I5"/>
      <c r="J5"/>
      <c r="K5"/>
      <c r="L5"/>
      <c r="M5"/>
    </row>
    <row r="6" spans="1:13" s="3" customFormat="1" ht="15" customHeight="1">
      <c r="A6"/>
      <c r="B6"/>
      <c r="C6"/>
      <c r="D6"/>
      <c r="E6"/>
      <c r="F6"/>
      <c r="G6"/>
      <c r="H6"/>
      <c r="I6"/>
      <c r="J6"/>
      <c r="K6" s="1"/>
      <c r="L6" s="1"/>
      <c r="M6" s="1"/>
    </row>
    <row r="7" spans="1:13" s="2" customFormat="1" ht="15" customHeight="1">
      <c r="A7"/>
      <c r="B7"/>
      <c r="C7"/>
      <c r="D7"/>
      <c r="E7"/>
      <c r="F7"/>
      <c r="G7"/>
      <c r="H7"/>
      <c r="I7"/>
      <c r="J7"/>
      <c r="K7"/>
      <c r="L7"/>
      <c r="M7"/>
    </row>
    <row r="8" spans="1:13" s="3" customFormat="1" ht="15" customHeight="1">
      <c r="A8"/>
      <c r="B8"/>
      <c r="C8"/>
      <c r="D8"/>
      <c r="E8"/>
      <c r="F8"/>
      <c r="G8"/>
      <c r="H8"/>
      <c r="I8"/>
      <c r="J8"/>
      <c r="K8"/>
      <c r="L8"/>
      <c r="M8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28E2F48A-1DE8-416E-B311-DCA82D597FC2}">
  <sheetPr>
    <tabColor rgb="FFFFADAF"/>
  </sheetPr>
  <dimension ref="A1:C12"/>
  <sheetViews>
    <sheetView tabSelected="1" workbookViewId="0" topLeftCell="A1"/>
  </sheetViews>
  <sheetFormatPr defaultRowHeight="15"/>
  <cols>
    <col min="1" max="1" width="37" bestFit="1" customWidth="1"/>
    <col min="2" max="2" width="17.7142857142857" bestFit="1" customWidth="1"/>
    <col min="3" max="3" width="14.2857142857143" bestFit="1" customWidth="1"/>
    <col min="4" max="4" width="10.5714285714286" bestFit="1" customWidth="1"/>
    <col min="5" max="5" width="10.2857142857143" bestFit="1" customWidth="1"/>
  </cols>
  <sheetData>
    <row r="1" spans="1:1" ht="28.5">
      <c r="A1" s="4" t="s">
        <v>23</v>
      </c>
    </row>
    <row r="3" spans="1:2" ht="15">
      <c r="A3" s="5" t="s">
        <v>9</v>
      </c>
      <c r="B3" t="s">
        <v>28</v>
      </c>
    </row>
    <row r="4" spans="1:2" ht="15">
      <c r="A4" s="5" t="s">
        <v>39</v>
      </c>
      <c r="B4" t="s">
        <v>28</v>
      </c>
    </row>
    <row r="5" spans="1:2" ht="15">
      <c r="A5" s="5" t="s">
        <v>4</v>
      </c>
      <c r="B5" t="s">
        <v>28</v>
      </c>
    </row>
    <row r="7" spans="1:2" ht="15">
      <c r="A7" s="5" t="s">
        <v>42</v>
      </c>
      <c r="B7" s="5" t="s">
        <v>25</v>
      </c>
    </row>
    <row r="8" spans="2:3" ht="15">
      <c r="B8" t="s">
        <v>33</v>
      </c>
      <c r="C8" t="s">
        <v>26</v>
      </c>
    </row>
    <row r="9" spans="1:1" ht="15">
      <c r="A9" s="5" t="s">
        <v>27</v>
      </c>
    </row>
    <row r="10" spans="1:1" ht="15">
      <c r="A10" s="6" t="s">
        <v>28</v>
      </c>
    </row>
    <row r="11" spans="1:1" ht="15">
      <c r="A11" s="7" t="s">
        <v>28</v>
      </c>
    </row>
    <row r="12" spans="1:1" ht="15">
      <c r="A12" s="6" t="s">
        <v>26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100-000000000000}">
  <sheetPr>
    <tabColor rgb="FFFFADAF"/>
  </sheetPr>
  <dimension ref="A1:M59"/>
  <sheetViews>
    <sheetView workbookViewId="0" topLeftCell="A1"/>
  </sheetViews>
  <sheetFormatPr defaultRowHeight="15"/>
  <cols>
    <col min="1" max="1" width="10.4285714285714" style="10" customWidth="1"/>
    <col min="2" max="3" width="13.7142857142857" style="10" customWidth="1"/>
    <col min="4" max="4" width="15.1428571428571" style="10" customWidth="1"/>
    <col min="5" max="5" width="21.2857142857143" style="11" customWidth="1"/>
    <col min="6" max="6" width="20" style="10" customWidth="1"/>
    <col min="7" max="8" width="50" style="10" customWidth="1"/>
    <col min="9" max="9" width="105" style="10" customWidth="1"/>
    <col min="10" max="10" width="24" style="10" customWidth="1"/>
    <col min="11" max="11" width="21.4285714285714" style="10" customWidth="1"/>
    <col min="12" max="12" width="33.7142857142857" style="10" customWidth="1"/>
    <col min="13" max="13" width="27.8571428571429" style="10" customWidth="1"/>
  </cols>
  <sheetData>
    <row r="1" spans="1:13" ht="56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41</v>
      </c>
      <c r="F1" s="12" t="s">
        <v>4</v>
      </c>
      <c r="G1" s="12" t="s">
        <v>39</v>
      </c>
      <c r="H1" s="12" t="s">
        <v>40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</row>
    <row r="2" spans="1:13" ht="15">
      <c r="A2" s="13">
        <v>46153</v>
      </c>
      <c r="B2" s="10" t="s">
        <v>122</v>
      </c>
      <c r="C2" s="10" t="s">
        <v>136</v>
      </c>
      <c r="D2" s="10">
        <v>1</v>
      </c>
      <c r="E2" s="11">
        <v>1</v>
      </c>
      <c r="F2" s="10" t="s">
        <v>31</v>
      </c>
      <c r="G2" s="10" t="s">
        <v>137</v>
      </c>
      <c r="H2" s="10" t="s">
        <v>137</v>
      </c>
      <c r="I2" s="10" t="s">
        <v>56</v>
      </c>
      <c r="J2" s="10" t="s">
        <v>57</v>
      </c>
      <c r="K2" s="10" t="s">
        <v>15</v>
      </c>
      <c r="L2" s="10" t="s">
        <v>60</v>
      </c>
      <c r="M2" s="10" t="s">
        <v>138</v>
      </c>
    </row>
    <row r="3" spans="1:13" ht="15">
      <c r="A3" s="13">
        <v>46153</v>
      </c>
      <c r="B3" s="10" t="s">
        <v>122</v>
      </c>
      <c r="C3" s="10" t="s">
        <v>136</v>
      </c>
      <c r="D3" s="10">
        <v>1</v>
      </c>
      <c r="E3" s="11">
        <v>1</v>
      </c>
      <c r="F3" s="10" t="s">
        <v>31</v>
      </c>
      <c r="G3" s="10" t="s">
        <v>104</v>
      </c>
      <c r="H3" s="10" t="s">
        <v>104</v>
      </c>
      <c r="I3" s="10" t="s">
        <v>139</v>
      </c>
      <c r="J3" s="10" t="s">
        <v>75</v>
      </c>
      <c r="K3" s="10" t="s">
        <v>15</v>
      </c>
      <c r="L3" s="10" t="s">
        <v>53</v>
      </c>
      <c r="M3" s="10" t="s">
        <v>138</v>
      </c>
    </row>
    <row r="4" spans="1:13" ht="15">
      <c r="A4" s="13">
        <v>46153</v>
      </c>
      <c r="B4" s="10" t="s">
        <v>24</v>
      </c>
      <c r="C4" s="10" t="s">
        <v>37</v>
      </c>
      <c r="D4" s="10">
        <v>2</v>
      </c>
      <c r="E4" s="11">
        <v>1</v>
      </c>
      <c r="F4" s="10" t="s">
        <v>31</v>
      </c>
      <c r="G4" s="10" t="s">
        <v>104</v>
      </c>
      <c r="H4" s="10" t="s">
        <v>104</v>
      </c>
      <c r="I4" s="10" t="s">
        <v>139</v>
      </c>
      <c r="J4" s="10" t="s">
        <v>75</v>
      </c>
      <c r="K4" s="10" t="s">
        <v>15</v>
      </c>
      <c r="L4" s="10" t="s">
        <v>53</v>
      </c>
      <c r="M4" s="10" t="s">
        <v>138</v>
      </c>
    </row>
    <row r="5" spans="1:13" ht="15">
      <c r="A5" s="13">
        <v>46153</v>
      </c>
      <c r="B5" s="10" t="s">
        <v>35</v>
      </c>
      <c r="C5" s="10" t="s">
        <v>21</v>
      </c>
      <c r="D5" s="10">
        <v>3</v>
      </c>
      <c r="E5" s="11">
        <v>1</v>
      </c>
      <c r="F5" s="10" t="s">
        <v>31</v>
      </c>
      <c r="G5" s="10" t="s">
        <v>104</v>
      </c>
      <c r="H5" s="10" t="s">
        <v>104</v>
      </c>
      <c r="I5" s="10" t="s">
        <v>38</v>
      </c>
      <c r="J5" s="10" t="s">
        <v>20</v>
      </c>
      <c r="K5" s="10" t="s">
        <v>15</v>
      </c>
      <c r="L5" s="10" t="s">
        <v>18</v>
      </c>
      <c r="M5" s="10" t="s">
        <v>138</v>
      </c>
    </row>
    <row r="6" spans="1:13" ht="15">
      <c r="A6" s="13">
        <v>46153</v>
      </c>
      <c r="B6" s="10" t="s">
        <v>63</v>
      </c>
      <c r="C6" s="10" t="s">
        <v>64</v>
      </c>
      <c r="D6" s="10">
        <v>4</v>
      </c>
      <c r="E6" s="11">
        <v>1</v>
      </c>
      <c r="F6" s="10" t="s">
        <v>31</v>
      </c>
      <c r="G6" s="10" t="s">
        <v>88</v>
      </c>
      <c r="H6" s="10" t="s">
        <v>88</v>
      </c>
      <c r="I6" s="10" t="s">
        <v>81</v>
      </c>
      <c r="J6" s="10" t="s">
        <v>57</v>
      </c>
      <c r="K6" s="10" t="s">
        <v>15</v>
      </c>
      <c r="L6" s="10" t="s">
        <v>60</v>
      </c>
      <c r="M6" s="10" t="s">
        <v>138</v>
      </c>
    </row>
    <row r="7" spans="1:13" ht="15">
      <c r="A7" s="13">
        <v>46153</v>
      </c>
      <c r="B7" s="10" t="s">
        <v>78</v>
      </c>
      <c r="C7" s="10" t="s">
        <v>79</v>
      </c>
      <c r="D7" s="10">
        <v>5</v>
      </c>
      <c r="E7" s="11">
        <v>1</v>
      </c>
      <c r="F7" s="10" t="s">
        <v>31</v>
      </c>
      <c r="G7" s="10" t="s">
        <v>106</v>
      </c>
      <c r="H7" s="10" t="s">
        <v>106</v>
      </c>
      <c r="I7" s="10" t="s">
        <v>68</v>
      </c>
      <c r="J7" s="10" t="s">
        <v>69</v>
      </c>
      <c r="K7" s="10" t="s">
        <v>15</v>
      </c>
      <c r="L7" s="10" t="s">
        <v>72</v>
      </c>
      <c r="M7" s="10" t="s">
        <v>138</v>
      </c>
    </row>
    <row r="8" spans="1:13" ht="15">
      <c r="A8" s="13">
        <v>46153</v>
      </c>
      <c r="B8" s="10" t="s">
        <v>78</v>
      </c>
      <c r="C8" s="10" t="s">
        <v>79</v>
      </c>
      <c r="D8" s="10">
        <v>5</v>
      </c>
      <c r="E8" s="11">
        <v>1</v>
      </c>
      <c r="F8" s="10" t="s">
        <v>31</v>
      </c>
      <c r="G8" s="10" t="s">
        <v>73</v>
      </c>
      <c r="H8" s="10" t="s">
        <v>73</v>
      </c>
      <c r="I8" s="10" t="s">
        <v>74</v>
      </c>
      <c r="J8" s="10" t="s">
        <v>75</v>
      </c>
      <c r="K8" s="10" t="s">
        <v>15</v>
      </c>
      <c r="L8" s="10" t="s">
        <v>53</v>
      </c>
      <c r="M8" s="10" t="s">
        <v>140</v>
      </c>
    </row>
    <row r="9" spans="1:13" ht="15">
      <c r="A9" s="13">
        <v>46153</v>
      </c>
      <c r="B9" s="10" t="s">
        <v>84</v>
      </c>
      <c r="C9" s="10" t="s">
        <v>85</v>
      </c>
      <c r="D9" s="10">
        <v>6</v>
      </c>
      <c r="E9" s="11">
        <v>1</v>
      </c>
      <c r="F9" s="10" t="s">
        <v>31</v>
      </c>
      <c r="G9" s="10" t="s">
        <v>73</v>
      </c>
      <c r="H9" s="10" t="s">
        <v>73</v>
      </c>
      <c r="I9" s="10" t="s">
        <v>74</v>
      </c>
      <c r="J9" s="10" t="s">
        <v>75</v>
      </c>
      <c r="K9" s="10" t="s">
        <v>15</v>
      </c>
      <c r="L9" s="10" t="s">
        <v>53</v>
      </c>
      <c r="M9" s="10" t="s">
        <v>140</v>
      </c>
    </row>
    <row r="10" spans="1:13" ht="15">
      <c r="A10" s="13">
        <v>46153</v>
      </c>
      <c r="B10" s="10" t="s">
        <v>98</v>
      </c>
      <c r="C10" s="10" t="s">
        <v>99</v>
      </c>
      <c r="D10" s="10">
        <v>7</v>
      </c>
      <c r="E10" s="11">
        <v>1</v>
      </c>
      <c r="F10" s="10" t="s">
        <v>31</v>
      </c>
      <c r="G10" s="10" t="s">
        <v>73</v>
      </c>
      <c r="H10" s="10" t="s">
        <v>73</v>
      </c>
      <c r="I10" s="10" t="s">
        <v>74</v>
      </c>
      <c r="J10" s="10" t="s">
        <v>75</v>
      </c>
      <c r="K10" s="10" t="s">
        <v>15</v>
      </c>
      <c r="L10" s="10" t="s">
        <v>53</v>
      </c>
      <c r="M10" s="10" t="s">
        <v>140</v>
      </c>
    </row>
    <row r="11" spans="1:13" ht="15">
      <c r="A11" s="13">
        <v>46153</v>
      </c>
      <c r="B11" s="10" t="s">
        <v>101</v>
      </c>
      <c r="C11" s="10" t="s">
        <v>102</v>
      </c>
      <c r="D11" s="10">
        <v>8</v>
      </c>
      <c r="E11" s="11">
        <v>1</v>
      </c>
      <c r="F11" s="10" t="s">
        <v>31</v>
      </c>
      <c r="G11" s="10" t="s">
        <v>73</v>
      </c>
      <c r="H11" s="10" t="s">
        <v>73</v>
      </c>
      <c r="I11" s="10" t="s">
        <v>74</v>
      </c>
      <c r="J11" s="10" t="s">
        <v>75</v>
      </c>
      <c r="K11" s="10" t="s">
        <v>15</v>
      </c>
      <c r="L11" s="10" t="s">
        <v>53</v>
      </c>
      <c r="M11" s="10" t="s">
        <v>140</v>
      </c>
    </row>
    <row r="12" spans="1:13" ht="15">
      <c r="A12" s="13">
        <v>46153</v>
      </c>
      <c r="B12" s="10" t="s">
        <v>116</v>
      </c>
      <c r="C12" s="10" t="s">
        <v>117</v>
      </c>
      <c r="D12" s="10">
        <v>10</v>
      </c>
      <c r="E12" s="11">
        <v>1</v>
      </c>
      <c r="F12" s="10" t="s">
        <v>31</v>
      </c>
      <c r="G12" s="10" t="s">
        <v>113</v>
      </c>
      <c r="H12" s="10" t="s">
        <v>113</v>
      </c>
      <c r="I12" s="10" t="s">
        <v>141</v>
      </c>
      <c r="J12" s="10" t="s">
        <v>75</v>
      </c>
      <c r="K12" s="10" t="s">
        <v>15</v>
      </c>
      <c r="L12" s="10" t="s">
        <v>53</v>
      </c>
      <c r="M12" s="10" t="s">
        <v>140</v>
      </c>
    </row>
    <row r="13" spans="1:13" ht="15">
      <c r="A13" s="13">
        <v>46153</v>
      </c>
      <c r="B13" s="10" t="s">
        <v>132</v>
      </c>
      <c r="C13" s="10" t="s">
        <v>134</v>
      </c>
      <c r="D13" s="10">
        <v>11</v>
      </c>
      <c r="E13" s="11">
        <v>1</v>
      </c>
      <c r="F13" s="10" t="s">
        <v>31</v>
      </c>
      <c r="G13" s="10" t="s">
        <v>113</v>
      </c>
      <c r="H13" s="10" t="s">
        <v>113</v>
      </c>
      <c r="I13" s="10" t="s">
        <v>139</v>
      </c>
      <c r="J13" s="10" t="s">
        <v>75</v>
      </c>
      <c r="K13" s="10" t="s">
        <v>15</v>
      </c>
      <c r="L13" s="10" t="s">
        <v>53</v>
      </c>
      <c r="M13" s="10" t="s">
        <v>140</v>
      </c>
    </row>
    <row r="14" spans="1:13" ht="15">
      <c r="A14" s="13">
        <v>46154</v>
      </c>
      <c r="B14" s="10" t="s">
        <v>84</v>
      </c>
      <c r="C14" s="10" t="s">
        <v>85</v>
      </c>
      <c r="D14" s="10">
        <v>6</v>
      </c>
      <c r="E14" s="11">
        <v>1</v>
      </c>
      <c r="F14" s="10" t="s">
        <v>31</v>
      </c>
      <c r="G14" s="10" t="s">
        <v>142</v>
      </c>
      <c r="H14" s="10" t="s">
        <v>142</v>
      </c>
      <c r="I14" s="10" t="s">
        <v>38</v>
      </c>
      <c r="J14" s="10" t="s">
        <v>20</v>
      </c>
      <c r="K14" s="10" t="s">
        <v>15</v>
      </c>
      <c r="L14" s="10" t="s">
        <v>18</v>
      </c>
      <c r="M14" s="10" t="s">
        <v>32</v>
      </c>
    </row>
    <row r="15" spans="1:13" ht="15">
      <c r="A15" s="13">
        <v>46154</v>
      </c>
      <c r="B15" s="10" t="s">
        <v>98</v>
      </c>
      <c r="C15" s="10" t="s">
        <v>99</v>
      </c>
      <c r="D15" s="10">
        <v>7</v>
      </c>
      <c r="E15" s="11">
        <v>1</v>
      </c>
      <c r="F15" s="10" t="s">
        <v>31</v>
      </c>
      <c r="G15" s="10" t="s">
        <v>13</v>
      </c>
      <c r="H15" s="10" t="s">
        <v>13</v>
      </c>
      <c r="I15" s="10" t="s">
        <v>38</v>
      </c>
      <c r="J15" s="10" t="s">
        <v>20</v>
      </c>
      <c r="K15" s="10" t="s">
        <v>15</v>
      </c>
      <c r="L15" s="10" t="s">
        <v>18</v>
      </c>
      <c r="M15" s="10" t="s">
        <v>32</v>
      </c>
    </row>
    <row r="16" spans="1:13" ht="15">
      <c r="A16" s="13">
        <v>46154</v>
      </c>
      <c r="B16" s="10" t="s">
        <v>101</v>
      </c>
      <c r="C16" s="10" t="s">
        <v>102</v>
      </c>
      <c r="D16" s="10">
        <v>8</v>
      </c>
      <c r="E16" s="11">
        <v>1</v>
      </c>
      <c r="F16" s="10" t="s">
        <v>31</v>
      </c>
      <c r="G16" s="10" t="s">
        <v>143</v>
      </c>
      <c r="H16" s="10" t="s">
        <v>143</v>
      </c>
      <c r="I16" s="10" t="s">
        <v>38</v>
      </c>
      <c r="J16" s="10" t="s">
        <v>20</v>
      </c>
      <c r="K16" s="10" t="s">
        <v>15</v>
      </c>
      <c r="L16" s="10" t="s">
        <v>18</v>
      </c>
      <c r="M16" s="10" t="s">
        <v>32</v>
      </c>
    </row>
    <row r="17" spans="1:13" ht="15">
      <c r="A17" s="13">
        <v>46154</v>
      </c>
      <c r="B17" s="10" t="s">
        <v>109</v>
      </c>
      <c r="C17" s="10" t="s">
        <v>110</v>
      </c>
      <c r="D17" s="10">
        <v>9</v>
      </c>
      <c r="E17" s="11">
        <v>1</v>
      </c>
      <c r="F17" s="10" t="s">
        <v>31</v>
      </c>
      <c r="G17" s="10" t="s">
        <v>144</v>
      </c>
      <c r="H17" s="10" t="s">
        <v>144</v>
      </c>
      <c r="I17" s="10" t="s">
        <v>38</v>
      </c>
      <c r="J17" s="10" t="s">
        <v>20</v>
      </c>
      <c r="K17" s="10" t="s">
        <v>15</v>
      </c>
      <c r="L17" s="10" t="s">
        <v>18</v>
      </c>
      <c r="M17" s="10" t="s">
        <v>32</v>
      </c>
    </row>
    <row r="18" spans="1:13" ht="15">
      <c r="A18" s="13">
        <v>46155</v>
      </c>
      <c r="B18" s="10" t="s">
        <v>24</v>
      </c>
      <c r="C18" s="10" t="s">
        <v>37</v>
      </c>
      <c r="D18" s="10">
        <v>2</v>
      </c>
      <c r="E18" s="11">
        <v>1</v>
      </c>
      <c r="F18" s="10" t="s">
        <v>31</v>
      </c>
      <c r="G18" s="10" t="s">
        <v>55</v>
      </c>
      <c r="H18" s="10" t="s">
        <v>55</v>
      </c>
      <c r="I18" s="10" t="s">
        <v>38</v>
      </c>
      <c r="J18" s="10" t="s">
        <v>20</v>
      </c>
      <c r="K18" s="10" t="s">
        <v>15</v>
      </c>
      <c r="L18" s="10" t="s">
        <v>18</v>
      </c>
      <c r="M18" s="10" t="s">
        <v>32</v>
      </c>
    </row>
    <row r="19" spans="1:13" ht="15">
      <c r="A19" s="13">
        <v>46155</v>
      </c>
      <c r="B19" s="10" t="s">
        <v>35</v>
      </c>
      <c r="C19" s="10" t="s">
        <v>21</v>
      </c>
      <c r="D19" s="10">
        <v>3</v>
      </c>
      <c r="E19" s="11">
        <v>1</v>
      </c>
      <c r="F19" s="10" t="s">
        <v>31</v>
      </c>
      <c r="G19" s="10" t="s">
        <v>142</v>
      </c>
      <c r="H19" s="10" t="s">
        <v>142</v>
      </c>
      <c r="I19" s="10" t="s">
        <v>38</v>
      </c>
      <c r="J19" s="10" t="s">
        <v>20</v>
      </c>
      <c r="K19" s="10" t="s">
        <v>15</v>
      </c>
      <c r="L19" s="10" t="s">
        <v>18</v>
      </c>
      <c r="M19" s="10" t="s">
        <v>32</v>
      </c>
    </row>
    <row r="20" spans="1:13" ht="15">
      <c r="A20" s="13">
        <v>46155</v>
      </c>
      <c r="B20" s="10" t="s">
        <v>63</v>
      </c>
      <c r="C20" s="10" t="s">
        <v>64</v>
      </c>
      <c r="D20" s="10">
        <v>4</v>
      </c>
      <c r="E20" s="11">
        <v>1</v>
      </c>
      <c r="F20" s="10" t="s">
        <v>31</v>
      </c>
      <c r="G20" s="10" t="s">
        <v>145</v>
      </c>
      <c r="H20" s="10" t="s">
        <v>145</v>
      </c>
      <c r="I20" s="10" t="s">
        <v>38</v>
      </c>
      <c r="J20" s="10" t="s">
        <v>20</v>
      </c>
      <c r="K20" s="10" t="s">
        <v>15</v>
      </c>
      <c r="L20" s="10" t="s">
        <v>18</v>
      </c>
      <c r="M20" s="10" t="s">
        <v>32</v>
      </c>
    </row>
    <row r="21" spans="1:13" ht="15">
      <c r="A21" s="13">
        <v>46155</v>
      </c>
      <c r="B21" s="10" t="s">
        <v>63</v>
      </c>
      <c r="C21" s="10" t="s">
        <v>64</v>
      </c>
      <c r="D21" s="10">
        <v>4</v>
      </c>
      <c r="E21" s="11">
        <v>1</v>
      </c>
      <c r="F21" s="10" t="s">
        <v>31</v>
      </c>
      <c r="G21" s="10" t="s">
        <v>55</v>
      </c>
      <c r="H21" s="10" t="s">
        <v>146</v>
      </c>
      <c r="I21" s="10" t="s">
        <v>52</v>
      </c>
      <c r="J21" s="10" t="s">
        <v>147</v>
      </c>
      <c r="K21" s="10" t="s">
        <v>15</v>
      </c>
      <c r="L21" s="10" t="s">
        <v>18</v>
      </c>
      <c r="M21" s="10" t="s">
        <v>14</v>
      </c>
    </row>
    <row r="22" spans="1:13" ht="15">
      <c r="A22" s="13">
        <v>46155</v>
      </c>
      <c r="B22" s="10" t="s">
        <v>78</v>
      </c>
      <c r="C22" s="10" t="s">
        <v>79</v>
      </c>
      <c r="D22" s="10">
        <v>5</v>
      </c>
      <c r="E22" s="11">
        <v>1</v>
      </c>
      <c r="F22" s="10" t="s">
        <v>31</v>
      </c>
      <c r="G22" s="10" t="s">
        <v>148</v>
      </c>
      <c r="H22" s="10" t="s">
        <v>149</v>
      </c>
      <c r="I22" s="10" t="s">
        <v>52</v>
      </c>
      <c r="J22" s="10" t="s">
        <v>147</v>
      </c>
      <c r="K22" s="10" t="s">
        <v>15</v>
      </c>
      <c r="L22" s="10" t="s">
        <v>18</v>
      </c>
      <c r="M22" s="10" t="s">
        <v>14</v>
      </c>
    </row>
    <row r="23" spans="1:13" ht="15">
      <c r="A23" s="13">
        <v>46155</v>
      </c>
      <c r="B23" s="10" t="s">
        <v>78</v>
      </c>
      <c r="C23" s="10" t="s">
        <v>79</v>
      </c>
      <c r="D23" s="10">
        <v>5</v>
      </c>
      <c r="E23" s="11">
        <v>1</v>
      </c>
      <c r="F23" s="10" t="s">
        <v>31</v>
      </c>
      <c r="G23" s="10" t="s">
        <v>150</v>
      </c>
      <c r="H23" s="10" t="s">
        <v>150</v>
      </c>
      <c r="I23" s="10" t="s">
        <v>38</v>
      </c>
      <c r="J23" s="10" t="s">
        <v>20</v>
      </c>
      <c r="K23" s="10" t="s">
        <v>15</v>
      </c>
      <c r="L23" s="10" t="s">
        <v>18</v>
      </c>
      <c r="M23" s="10" t="s">
        <v>32</v>
      </c>
    </row>
    <row r="24" spans="1:13" ht="15">
      <c r="A24" s="13">
        <v>46155</v>
      </c>
      <c r="B24" s="10" t="s">
        <v>84</v>
      </c>
      <c r="C24" s="10" t="s">
        <v>85</v>
      </c>
      <c r="D24" s="10">
        <v>6</v>
      </c>
      <c r="E24" s="11">
        <v>1</v>
      </c>
      <c r="F24" s="10" t="s">
        <v>31</v>
      </c>
      <c r="G24" s="10" t="s">
        <v>150</v>
      </c>
      <c r="H24" s="10" t="s">
        <v>150</v>
      </c>
      <c r="I24" s="10" t="s">
        <v>38</v>
      </c>
      <c r="J24" s="10" t="s">
        <v>20</v>
      </c>
      <c r="K24" s="10" t="s">
        <v>15</v>
      </c>
      <c r="L24" s="10" t="s">
        <v>18</v>
      </c>
      <c r="M24" s="10" t="s">
        <v>32</v>
      </c>
    </row>
    <row r="25" spans="1:13" ht="15">
      <c r="A25" s="13">
        <v>46156</v>
      </c>
      <c r="B25" s="10" t="s">
        <v>35</v>
      </c>
      <c r="C25" s="10" t="s">
        <v>21</v>
      </c>
      <c r="D25" s="10">
        <v>3</v>
      </c>
      <c r="E25" s="11">
        <v>1</v>
      </c>
      <c r="F25" s="10" t="s">
        <v>31</v>
      </c>
      <c r="G25" s="10" t="s">
        <v>151</v>
      </c>
      <c r="H25" s="10" t="s">
        <v>151</v>
      </c>
      <c r="I25" s="10" t="s">
        <v>38</v>
      </c>
      <c r="J25" s="10" t="s">
        <v>20</v>
      </c>
      <c r="K25" s="10" t="s">
        <v>15</v>
      </c>
      <c r="L25" s="10" t="s">
        <v>18</v>
      </c>
      <c r="M25" s="10" t="s">
        <v>32</v>
      </c>
    </row>
    <row r="26" spans="1:13" ht="15">
      <c r="A26" s="13">
        <v>46156</v>
      </c>
      <c r="B26" s="10" t="s">
        <v>78</v>
      </c>
      <c r="C26" s="10" t="s">
        <v>79</v>
      </c>
      <c r="D26" s="10">
        <v>5</v>
      </c>
      <c r="E26" s="11">
        <v>1</v>
      </c>
      <c r="F26" s="10" t="s">
        <v>31</v>
      </c>
      <c r="G26" s="10" t="s">
        <v>104</v>
      </c>
      <c r="H26" s="10" t="s">
        <v>104</v>
      </c>
      <c r="I26" s="10" t="s">
        <v>38</v>
      </c>
      <c r="J26" s="10" t="s">
        <v>20</v>
      </c>
      <c r="K26" s="10" t="s">
        <v>15</v>
      </c>
      <c r="L26" s="10" t="s">
        <v>18</v>
      </c>
      <c r="M26" s="10" t="s">
        <v>32</v>
      </c>
    </row>
    <row r="27" spans="1:13" ht="15">
      <c r="A27" s="13">
        <v>46156</v>
      </c>
      <c r="B27" s="10" t="s">
        <v>84</v>
      </c>
      <c r="C27" s="10" t="s">
        <v>85</v>
      </c>
      <c r="D27" s="10">
        <v>6</v>
      </c>
      <c r="E27" s="11">
        <v>1</v>
      </c>
      <c r="F27" s="10" t="s">
        <v>31</v>
      </c>
      <c r="G27" s="10" t="s">
        <v>144</v>
      </c>
      <c r="H27" s="10" t="s">
        <v>144</v>
      </c>
      <c r="I27" s="10" t="s">
        <v>38</v>
      </c>
      <c r="J27" s="10" t="s">
        <v>20</v>
      </c>
      <c r="K27" s="10" t="s">
        <v>15</v>
      </c>
      <c r="L27" s="10" t="s">
        <v>18</v>
      </c>
      <c r="M27" s="10" t="s">
        <v>32</v>
      </c>
    </row>
    <row r="28" spans="1:13" ht="15">
      <c r="A28" s="13">
        <v>46156</v>
      </c>
      <c r="B28" s="10" t="s">
        <v>109</v>
      </c>
      <c r="C28" s="10" t="s">
        <v>110</v>
      </c>
      <c r="D28" s="10">
        <v>9</v>
      </c>
      <c r="E28" s="11">
        <v>1</v>
      </c>
      <c r="F28" s="10" t="s">
        <v>31</v>
      </c>
      <c r="G28" s="10" t="s">
        <v>150</v>
      </c>
      <c r="H28" s="10" t="s">
        <v>150</v>
      </c>
      <c r="I28" s="10" t="s">
        <v>38</v>
      </c>
      <c r="J28" s="10" t="s">
        <v>20</v>
      </c>
      <c r="K28" s="10" t="s">
        <v>15</v>
      </c>
      <c r="L28" s="10" t="s">
        <v>18</v>
      </c>
      <c r="M28" s="10" t="s">
        <v>32</v>
      </c>
    </row>
    <row r="29" spans="1:13" ht="15">
      <c r="A29" s="13">
        <v>46157</v>
      </c>
      <c r="B29" s="10" t="s">
        <v>63</v>
      </c>
      <c r="C29" s="10" t="s">
        <v>64</v>
      </c>
      <c r="D29" s="10">
        <v>4</v>
      </c>
      <c r="E29" s="11">
        <v>1</v>
      </c>
      <c r="F29" s="10" t="s">
        <v>31</v>
      </c>
      <c r="G29" s="10" t="s">
        <v>152</v>
      </c>
      <c r="H29" s="10" t="s">
        <v>152</v>
      </c>
      <c r="I29" s="10" t="s">
        <v>71</v>
      </c>
      <c r="J29" s="10" t="s">
        <v>114</v>
      </c>
      <c r="K29" s="10" t="s">
        <v>15</v>
      </c>
      <c r="L29" s="10" t="s">
        <v>53</v>
      </c>
      <c r="M29" s="10" t="s">
        <v>14</v>
      </c>
    </row>
    <row r="30" spans="1:13" ht="15">
      <c r="A30" s="13">
        <v>46157</v>
      </c>
      <c r="B30" s="10" t="s">
        <v>84</v>
      </c>
      <c r="C30" s="10" t="s">
        <v>85</v>
      </c>
      <c r="D30" s="10">
        <v>6</v>
      </c>
      <c r="E30" s="11">
        <v>1</v>
      </c>
      <c r="F30" s="10" t="s">
        <v>31</v>
      </c>
      <c r="G30" s="10" t="s">
        <v>151</v>
      </c>
      <c r="H30" s="10" t="s">
        <v>151</v>
      </c>
      <c r="I30" s="10" t="s">
        <v>38</v>
      </c>
      <c r="J30" s="10" t="s">
        <v>20</v>
      </c>
      <c r="K30" s="10" t="s">
        <v>15</v>
      </c>
      <c r="L30" s="10" t="s">
        <v>18</v>
      </c>
      <c r="M30" s="10" t="s">
        <v>32</v>
      </c>
    </row>
    <row r="31" spans="1:13" ht="15">
      <c r="A31" s="13">
        <v>46157</v>
      </c>
      <c r="B31" s="10" t="s">
        <v>84</v>
      </c>
      <c r="C31" s="10" t="s">
        <v>85</v>
      </c>
      <c r="D31" s="10">
        <v>6</v>
      </c>
      <c r="E31" s="11">
        <v>1</v>
      </c>
      <c r="F31" s="10" t="s">
        <v>31</v>
      </c>
      <c r="G31" s="10" t="s">
        <v>153</v>
      </c>
      <c r="H31" s="10" t="s">
        <v>154</v>
      </c>
      <c r="I31" s="10" t="s">
        <v>52</v>
      </c>
      <c r="J31" s="10" t="s">
        <v>155</v>
      </c>
      <c r="K31" s="10" t="s">
        <v>15</v>
      </c>
      <c r="L31" s="10" t="s">
        <v>156</v>
      </c>
      <c r="M31" s="10" t="s">
        <v>14</v>
      </c>
    </row>
    <row r="32" spans="1:13" ht="15">
      <c r="A32" s="13">
        <v>46157</v>
      </c>
      <c r="B32" s="10" t="s">
        <v>84</v>
      </c>
      <c r="C32" s="10" t="s">
        <v>85</v>
      </c>
      <c r="D32" s="10">
        <v>6</v>
      </c>
      <c r="E32" s="11">
        <v>1</v>
      </c>
      <c r="F32" s="10" t="s">
        <v>31</v>
      </c>
      <c r="G32" s="10" t="s">
        <v>150</v>
      </c>
      <c r="H32" s="10" t="s">
        <v>150</v>
      </c>
      <c r="I32" s="10" t="s">
        <v>157</v>
      </c>
      <c r="J32" s="10" t="s">
        <v>114</v>
      </c>
      <c r="K32" s="10" t="s">
        <v>15</v>
      </c>
      <c r="L32" s="10" t="s">
        <v>53</v>
      </c>
      <c r="M32" s="10" t="s">
        <v>14</v>
      </c>
    </row>
    <row r="33" spans="1:13" ht="15">
      <c r="A33" s="13">
        <v>46157</v>
      </c>
      <c r="B33" s="10" t="s">
        <v>98</v>
      </c>
      <c r="C33" s="10" t="s">
        <v>99</v>
      </c>
      <c r="D33" s="10">
        <v>7</v>
      </c>
      <c r="E33" s="11">
        <v>1</v>
      </c>
      <c r="F33" s="10" t="s">
        <v>31</v>
      </c>
      <c r="G33" s="10" t="s">
        <v>145</v>
      </c>
      <c r="H33" s="10" t="s">
        <v>145</v>
      </c>
      <c r="I33" s="10" t="s">
        <v>38</v>
      </c>
      <c r="J33" s="10" t="s">
        <v>20</v>
      </c>
      <c r="K33" s="10" t="s">
        <v>15</v>
      </c>
      <c r="L33" s="10" t="s">
        <v>18</v>
      </c>
      <c r="M33" s="10" t="s">
        <v>32</v>
      </c>
    </row>
    <row r="34" spans="1:13" ht="15">
      <c r="A34" s="13">
        <v>46157</v>
      </c>
      <c r="B34" s="10" t="s">
        <v>98</v>
      </c>
      <c r="C34" s="10" t="s">
        <v>99</v>
      </c>
      <c r="D34" s="10">
        <v>7</v>
      </c>
      <c r="E34" s="11">
        <v>1</v>
      </c>
      <c r="F34" s="10" t="s">
        <v>31</v>
      </c>
      <c r="G34" s="10" t="s">
        <v>150</v>
      </c>
      <c r="H34" s="10" t="s">
        <v>150</v>
      </c>
      <c r="I34" s="10" t="s">
        <v>157</v>
      </c>
      <c r="J34" s="10" t="s">
        <v>114</v>
      </c>
      <c r="K34" s="10" t="s">
        <v>15</v>
      </c>
      <c r="L34" s="10" t="s">
        <v>53</v>
      </c>
      <c r="M34" s="10" t="s">
        <v>14</v>
      </c>
    </row>
    <row r="35" spans="1:13" ht="15">
      <c r="A35" s="13">
        <v>46157</v>
      </c>
      <c r="B35" s="10" t="s">
        <v>101</v>
      </c>
      <c r="C35" s="10" t="s">
        <v>102</v>
      </c>
      <c r="D35" s="10">
        <v>8</v>
      </c>
      <c r="E35" s="11">
        <v>1</v>
      </c>
      <c r="F35" s="10" t="s">
        <v>31</v>
      </c>
      <c r="G35" s="10" t="s">
        <v>55</v>
      </c>
      <c r="H35" s="10" t="s">
        <v>55</v>
      </c>
      <c r="I35" s="10" t="s">
        <v>38</v>
      </c>
      <c r="J35" s="10" t="s">
        <v>20</v>
      </c>
      <c r="K35" s="10" t="s">
        <v>15</v>
      </c>
      <c r="L35" s="10" t="s">
        <v>18</v>
      </c>
      <c r="M35" s="10" t="s">
        <v>32</v>
      </c>
    </row>
    <row r="36" spans="1:13" ht="15">
      <c r="A36" s="13">
        <v>46157</v>
      </c>
      <c r="B36" s="10" t="s">
        <v>101</v>
      </c>
      <c r="C36" s="10" t="s">
        <v>102</v>
      </c>
      <c r="D36" s="10">
        <v>8</v>
      </c>
      <c r="E36" s="11">
        <v>1</v>
      </c>
      <c r="F36" s="10" t="s">
        <v>31</v>
      </c>
      <c r="G36" s="10" t="s">
        <v>150</v>
      </c>
      <c r="H36" s="10" t="s">
        <v>150</v>
      </c>
      <c r="I36" s="10" t="s">
        <v>157</v>
      </c>
      <c r="J36" s="10" t="s">
        <v>114</v>
      </c>
      <c r="K36" s="10" t="s">
        <v>15</v>
      </c>
      <c r="L36" s="10" t="s">
        <v>53</v>
      </c>
      <c r="M36" s="10" t="s">
        <v>14</v>
      </c>
    </row>
    <row r="37" spans="1:13" ht="15">
      <c r="A37" s="13">
        <v>46157</v>
      </c>
      <c r="B37" s="10" t="s">
        <v>109</v>
      </c>
      <c r="C37" s="10" t="s">
        <v>110</v>
      </c>
      <c r="D37" s="10">
        <v>9</v>
      </c>
      <c r="E37" s="11">
        <v>1</v>
      </c>
      <c r="F37" s="10" t="s">
        <v>31</v>
      </c>
      <c r="G37" s="10" t="s">
        <v>151</v>
      </c>
      <c r="H37" s="10" t="s">
        <v>158</v>
      </c>
      <c r="I37" s="10" t="s">
        <v>52</v>
      </c>
      <c r="J37" s="10" t="s">
        <v>155</v>
      </c>
      <c r="K37" s="10" t="s">
        <v>15</v>
      </c>
      <c r="L37" s="10" t="s">
        <v>156</v>
      </c>
      <c r="M37" s="10" t="s">
        <v>14</v>
      </c>
    </row>
    <row r="38" spans="1:13" ht="15">
      <c r="A38" s="13">
        <v>46157</v>
      </c>
      <c r="B38" s="10" t="s">
        <v>116</v>
      </c>
      <c r="C38" s="10" t="s">
        <v>117</v>
      </c>
      <c r="D38" s="10">
        <v>10</v>
      </c>
      <c r="E38" s="11">
        <v>1</v>
      </c>
      <c r="F38" s="10" t="s">
        <v>31</v>
      </c>
      <c r="G38" s="10" t="s">
        <v>159</v>
      </c>
      <c r="H38" s="10" t="s">
        <v>160</v>
      </c>
      <c r="I38" s="10" t="s">
        <v>52</v>
      </c>
      <c r="J38" s="10" t="s">
        <v>155</v>
      </c>
      <c r="K38" s="10" t="s">
        <v>15</v>
      </c>
      <c r="L38" s="10" t="s">
        <v>156</v>
      </c>
      <c r="M38" s="10" t="s">
        <v>14</v>
      </c>
    </row>
    <row r="39" spans="1:13" ht="15">
      <c r="A39" s="13">
        <v>46157</v>
      </c>
      <c r="B39" s="10" t="s">
        <v>132</v>
      </c>
      <c r="C39" s="10" t="s">
        <v>134</v>
      </c>
      <c r="D39" s="10">
        <v>11</v>
      </c>
      <c r="E39" s="11">
        <v>1</v>
      </c>
      <c r="F39" s="10" t="s">
        <v>31</v>
      </c>
      <c r="G39" s="10" t="s">
        <v>161</v>
      </c>
      <c r="H39" s="10" t="s">
        <v>162</v>
      </c>
      <c r="I39" s="10" t="s">
        <v>52</v>
      </c>
      <c r="J39" s="10" t="s">
        <v>155</v>
      </c>
      <c r="K39" s="10" t="s">
        <v>15</v>
      </c>
      <c r="L39" s="10" t="s">
        <v>156</v>
      </c>
      <c r="M39" s="10" t="s">
        <v>14</v>
      </c>
    </row>
    <row r="40" spans="1:13" ht="15">
      <c r="A40" s="13">
        <v>46153</v>
      </c>
      <c r="B40" s="10" t="s">
        <v>24</v>
      </c>
      <c r="C40" s="10" t="s">
        <v>163</v>
      </c>
      <c r="D40" s="10"/>
      <c r="E40" s="11">
        <v>2</v>
      </c>
      <c r="F40" s="10" t="s">
        <v>164</v>
      </c>
      <c r="G40" s="10" t="s">
        <v>165</v>
      </c>
      <c r="H40" s="10" t="s">
        <v>165</v>
      </c>
      <c r="I40" s="10" t="s">
        <v>68</v>
      </c>
      <c r="J40" s="10" t="s">
        <v>105</v>
      </c>
      <c r="K40" s="10" t="s">
        <v>15</v>
      </c>
      <c r="L40" s="10" t="s">
        <v>53</v>
      </c>
      <c r="M40" s="10" t="s">
        <v>14</v>
      </c>
    </row>
    <row r="41" spans="1:13" ht="15">
      <c r="A41" s="13">
        <v>46153</v>
      </c>
      <c r="B41" s="10" t="s">
        <v>35</v>
      </c>
      <c r="C41" s="10" t="s">
        <v>21</v>
      </c>
      <c r="D41" s="10"/>
      <c r="E41" s="11">
        <v>0.75</v>
      </c>
      <c r="F41" s="10" t="s">
        <v>164</v>
      </c>
      <c r="G41" s="10" t="s">
        <v>166</v>
      </c>
      <c r="H41" s="10" t="s">
        <v>166</v>
      </c>
      <c r="I41" s="10" t="s">
        <v>167</v>
      </c>
      <c r="J41" s="10" t="s">
        <v>75</v>
      </c>
      <c r="K41" s="10" t="s">
        <v>15</v>
      </c>
      <c r="L41" s="10" t="s">
        <v>53</v>
      </c>
      <c r="M41" s="10" t="s">
        <v>14</v>
      </c>
    </row>
    <row r="42" spans="1:13" ht="15">
      <c r="A42" s="13">
        <v>46153</v>
      </c>
      <c r="B42" s="10" t="s">
        <v>168</v>
      </c>
      <c r="C42" s="10" t="s">
        <v>169</v>
      </c>
      <c r="D42" s="10"/>
      <c r="E42" s="11">
        <v>2</v>
      </c>
      <c r="F42" s="10" t="s">
        <v>164</v>
      </c>
      <c r="G42" s="10" t="s">
        <v>170</v>
      </c>
      <c r="H42" s="10" t="s">
        <v>170</v>
      </c>
      <c r="I42" s="10" t="s">
        <v>171</v>
      </c>
      <c r="J42" s="10" t="s">
        <v>172</v>
      </c>
      <c r="K42" s="10" t="s">
        <v>15</v>
      </c>
      <c r="L42" s="10" t="s">
        <v>53</v>
      </c>
      <c r="M42" s="10" t="s">
        <v>14</v>
      </c>
    </row>
    <row r="43" spans="1:13" ht="15">
      <c r="A43" s="13">
        <v>46153</v>
      </c>
      <c r="B43" s="10" t="s">
        <v>78</v>
      </c>
      <c r="C43" s="10" t="s">
        <v>79</v>
      </c>
      <c r="D43" s="10"/>
      <c r="E43" s="11">
        <v>1</v>
      </c>
      <c r="F43" s="10" t="s">
        <v>164</v>
      </c>
      <c r="G43" s="10" t="s">
        <v>173</v>
      </c>
      <c r="H43" s="10" t="s">
        <v>173</v>
      </c>
      <c r="I43" s="10" t="s">
        <v>68</v>
      </c>
      <c r="J43" s="10" t="s">
        <v>105</v>
      </c>
      <c r="K43" s="10" t="s">
        <v>15</v>
      </c>
      <c r="L43" s="10" t="s">
        <v>53</v>
      </c>
      <c r="M43" s="10" t="s">
        <v>14</v>
      </c>
    </row>
    <row r="44" spans="1:13" ht="15">
      <c r="A44" s="13">
        <v>46153</v>
      </c>
      <c r="B44" s="10" t="s">
        <v>169</v>
      </c>
      <c r="C44" s="10" t="s">
        <v>174</v>
      </c>
      <c r="D44" s="10"/>
      <c r="E44" s="11">
        <v>5</v>
      </c>
      <c r="F44" s="10" t="s">
        <v>164</v>
      </c>
      <c r="G44" s="10" t="s">
        <v>175</v>
      </c>
      <c r="H44" s="10" t="s">
        <v>175</v>
      </c>
      <c r="I44" s="10" t="s">
        <v>176</v>
      </c>
      <c r="J44" s="10" t="s">
        <v>172</v>
      </c>
      <c r="K44" s="10" t="s">
        <v>15</v>
      </c>
      <c r="L44" s="10" t="s">
        <v>53</v>
      </c>
      <c r="M44" s="10" t="s">
        <v>14</v>
      </c>
    </row>
    <row r="45" spans="1:13" ht="15">
      <c r="A45" s="13">
        <v>46153</v>
      </c>
      <c r="B45" s="10" t="s">
        <v>109</v>
      </c>
      <c r="C45" s="10" t="s">
        <v>110</v>
      </c>
      <c r="D45" s="10"/>
      <c r="E45" s="11">
        <v>0.75</v>
      </c>
      <c r="F45" s="10" t="s">
        <v>164</v>
      </c>
      <c r="G45" s="10" t="s">
        <v>166</v>
      </c>
      <c r="H45" s="10" t="s">
        <v>166</v>
      </c>
      <c r="I45" s="10" t="s">
        <v>177</v>
      </c>
      <c r="J45" s="10" t="s">
        <v>75</v>
      </c>
      <c r="K45" s="10" t="s">
        <v>15</v>
      </c>
      <c r="L45" s="10" t="s">
        <v>53</v>
      </c>
      <c r="M45" s="10" t="s">
        <v>14</v>
      </c>
    </row>
    <row r="46" spans="1:13" ht="15">
      <c r="A46" s="13">
        <v>46153</v>
      </c>
      <c r="B46" s="10" t="s">
        <v>132</v>
      </c>
      <c r="C46" s="10" t="s">
        <v>134</v>
      </c>
      <c r="D46" s="10"/>
      <c r="E46" s="11">
        <v>1</v>
      </c>
      <c r="F46" s="10" t="s">
        <v>164</v>
      </c>
      <c r="G46" s="10" t="s">
        <v>178</v>
      </c>
      <c r="H46" s="10" t="s">
        <v>178</v>
      </c>
      <c r="I46" s="10" t="s">
        <v>179</v>
      </c>
      <c r="J46" s="10" t="s">
        <v>105</v>
      </c>
      <c r="K46" s="10" t="s">
        <v>15</v>
      </c>
      <c r="L46" s="10" t="s">
        <v>53</v>
      </c>
      <c r="M46" s="10" t="s">
        <v>14</v>
      </c>
    </row>
    <row r="47" spans="1:13" ht="15">
      <c r="A47" s="13">
        <v>46153</v>
      </c>
      <c r="B47" s="10" t="s">
        <v>132</v>
      </c>
      <c r="C47" s="10" t="s">
        <v>134</v>
      </c>
      <c r="D47" s="10"/>
      <c r="E47" s="11">
        <v>1</v>
      </c>
      <c r="F47" s="10" t="s">
        <v>164</v>
      </c>
      <c r="G47" s="10" t="s">
        <v>165</v>
      </c>
      <c r="H47" s="10" t="s">
        <v>165</v>
      </c>
      <c r="I47" s="10" t="s">
        <v>68</v>
      </c>
      <c r="J47" s="10" t="s">
        <v>105</v>
      </c>
      <c r="K47" s="10" t="s">
        <v>15</v>
      </c>
      <c r="L47" s="10" t="s">
        <v>53</v>
      </c>
      <c r="M47" s="10" t="s">
        <v>14</v>
      </c>
    </row>
    <row r="48" spans="1:13" ht="15">
      <c r="A48" s="13">
        <v>46157</v>
      </c>
      <c r="B48" s="10" t="s">
        <v>169</v>
      </c>
      <c r="C48" s="10" t="s">
        <v>174</v>
      </c>
      <c r="D48" s="10"/>
      <c r="E48" s="11">
        <v>5</v>
      </c>
      <c r="F48" s="10" t="s">
        <v>164</v>
      </c>
      <c r="G48" s="10" t="s">
        <v>175</v>
      </c>
      <c r="H48" s="10" t="s">
        <v>175</v>
      </c>
      <c r="I48" s="10" t="s">
        <v>176</v>
      </c>
      <c r="J48" s="10" t="s">
        <v>172</v>
      </c>
      <c r="K48" s="10" t="s">
        <v>15</v>
      </c>
      <c r="L48" s="10" t="s">
        <v>53</v>
      </c>
      <c r="M48" s="10" t="s">
        <v>14</v>
      </c>
    </row>
    <row r="49" spans="1:13" ht="15">
      <c r="A49" s="13">
        <v>46153</v>
      </c>
      <c r="B49" s="10" t="s">
        <v>121</v>
      </c>
      <c r="C49" s="10" t="s">
        <v>122</v>
      </c>
      <c r="D49" s="10"/>
      <c r="E49" s="11">
        <v>1</v>
      </c>
      <c r="F49" s="10" t="s">
        <v>123</v>
      </c>
      <c r="G49" s="10" t="s">
        <v>126</v>
      </c>
      <c r="H49" s="10" t="s">
        <v>126</v>
      </c>
      <c r="I49" s="10" t="s">
        <v>123</v>
      </c>
      <c r="J49" s="10" t="s">
        <v>75</v>
      </c>
      <c r="K49" s="10" t="s">
        <v>15</v>
      </c>
      <c r="L49" s="10" t="s">
        <v>53</v>
      </c>
      <c r="M49" s="10" t="s">
        <v>32</v>
      </c>
    </row>
    <row r="50" spans="1:13" ht="15">
      <c r="A50" s="13">
        <v>46153</v>
      </c>
      <c r="B50" s="10" t="s">
        <v>117</v>
      </c>
      <c r="C50" s="10" t="s">
        <v>132</v>
      </c>
      <c r="D50" s="10"/>
      <c r="E50" s="11">
        <v>1</v>
      </c>
      <c r="F50" s="10" t="s">
        <v>123</v>
      </c>
      <c r="G50" s="10" t="s">
        <v>128</v>
      </c>
      <c r="H50" s="10" t="s">
        <v>128</v>
      </c>
      <c r="I50" s="10" t="s">
        <v>123</v>
      </c>
      <c r="J50" s="10" t="s">
        <v>105</v>
      </c>
      <c r="K50" s="10" t="s">
        <v>15</v>
      </c>
      <c r="L50" s="10" t="s">
        <v>53</v>
      </c>
      <c r="M50" s="10" t="s">
        <v>32</v>
      </c>
    </row>
    <row r="51" spans="1:13" ht="15">
      <c r="A51" s="13">
        <v>46156</v>
      </c>
      <c r="B51" s="10" t="s">
        <v>136</v>
      </c>
      <c r="C51" s="10" t="s">
        <v>24</v>
      </c>
      <c r="D51" s="10"/>
      <c r="E51" s="11">
        <v>1</v>
      </c>
      <c r="F51" s="10" t="s">
        <v>123</v>
      </c>
      <c r="G51" s="10" t="s">
        <v>124</v>
      </c>
      <c r="H51" s="10" t="s">
        <v>124</v>
      </c>
      <c r="I51" s="10" t="s">
        <v>123</v>
      </c>
      <c r="J51" s="10" t="s">
        <v>92</v>
      </c>
      <c r="K51" s="10" t="s">
        <v>15</v>
      </c>
      <c r="L51" s="10" t="s">
        <v>94</v>
      </c>
      <c r="M51" s="10" t="s">
        <v>32</v>
      </c>
    </row>
    <row r="52" spans="1:13" ht="15">
      <c r="A52" s="13">
        <v>46157</v>
      </c>
      <c r="B52" s="10" t="s">
        <v>64</v>
      </c>
      <c r="C52" s="10" t="s">
        <v>78</v>
      </c>
      <c r="D52" s="10"/>
      <c r="E52" s="11">
        <v>1</v>
      </c>
      <c r="F52" s="10" t="s">
        <v>123</v>
      </c>
      <c r="G52" s="10" t="s">
        <v>180</v>
      </c>
      <c r="H52" s="10" t="s">
        <v>180</v>
      </c>
      <c r="I52" s="10" t="s">
        <v>123</v>
      </c>
      <c r="J52" s="10" t="s">
        <v>114</v>
      </c>
      <c r="K52" s="10" t="s">
        <v>15</v>
      </c>
      <c r="L52" s="10" t="s">
        <v>53</v>
      </c>
      <c r="M52" s="10" t="s">
        <v>32</v>
      </c>
    </row>
    <row r="53" spans="1:13" ht="15">
      <c r="A53" s="13">
        <v>46157</v>
      </c>
      <c r="B53" s="10" t="s">
        <v>79</v>
      </c>
      <c r="C53" s="10" t="s">
        <v>84</v>
      </c>
      <c r="D53" s="10"/>
      <c r="E53" s="11">
        <v>1</v>
      </c>
      <c r="F53" s="10" t="s">
        <v>123</v>
      </c>
      <c r="G53" s="10" t="s">
        <v>124</v>
      </c>
      <c r="H53" s="10" t="s">
        <v>124</v>
      </c>
      <c r="I53" s="10" t="s">
        <v>123</v>
      </c>
      <c r="J53" s="10" t="s">
        <v>92</v>
      </c>
      <c r="K53" s="10" t="s">
        <v>15</v>
      </c>
      <c r="L53" s="10" t="s">
        <v>94</v>
      </c>
      <c r="M53" s="10" t="s">
        <v>32</v>
      </c>
    </row>
    <row r="54" spans="1:13" ht="15">
      <c r="A54" s="13">
        <v>46157</v>
      </c>
      <c r="B54" s="10" t="s">
        <v>79</v>
      </c>
      <c r="C54" s="10" t="s">
        <v>84</v>
      </c>
      <c r="D54" s="10"/>
      <c r="E54" s="11">
        <v>1</v>
      </c>
      <c r="F54" s="10" t="s">
        <v>123</v>
      </c>
      <c r="G54" s="10" t="s">
        <v>180</v>
      </c>
      <c r="H54" s="10" t="s">
        <v>180</v>
      </c>
      <c r="I54" s="10" t="s">
        <v>123</v>
      </c>
      <c r="J54" s="10" t="s">
        <v>114</v>
      </c>
      <c r="K54" s="10" t="s">
        <v>15</v>
      </c>
      <c r="L54" s="10" t="s">
        <v>53</v>
      </c>
      <c r="M54" s="10" t="s">
        <v>32</v>
      </c>
    </row>
    <row r="55" spans="1:13" ht="15">
      <c r="A55" s="13">
        <v>46157</v>
      </c>
      <c r="B55" s="10" t="s">
        <v>99</v>
      </c>
      <c r="C55" s="10" t="s">
        <v>101</v>
      </c>
      <c r="D55" s="10"/>
      <c r="E55" s="11">
        <v>1</v>
      </c>
      <c r="F55" s="10" t="s">
        <v>123</v>
      </c>
      <c r="G55" s="10" t="s">
        <v>126</v>
      </c>
      <c r="H55" s="10" t="s">
        <v>126</v>
      </c>
      <c r="I55" s="10" t="s">
        <v>123</v>
      </c>
      <c r="J55" s="10" t="s">
        <v>155</v>
      </c>
      <c r="K55" s="10" t="s">
        <v>15</v>
      </c>
      <c r="L55" s="10" t="s">
        <v>156</v>
      </c>
      <c r="M55" s="10" t="s">
        <v>32</v>
      </c>
    </row>
    <row r="56" spans="1:13" ht="15">
      <c r="A56" s="13">
        <v>46157</v>
      </c>
      <c r="B56" s="10" t="s">
        <v>102</v>
      </c>
      <c r="C56" s="10" t="s">
        <v>109</v>
      </c>
      <c r="D56" s="10"/>
      <c r="E56" s="11">
        <v>1</v>
      </c>
      <c r="F56" s="10" t="s">
        <v>123</v>
      </c>
      <c r="G56" s="10" t="s">
        <v>124</v>
      </c>
      <c r="H56" s="10" t="s">
        <v>124</v>
      </c>
      <c r="I56" s="10" t="s">
        <v>123</v>
      </c>
      <c r="J56" s="10" t="s">
        <v>114</v>
      </c>
      <c r="K56" s="10" t="s">
        <v>15</v>
      </c>
      <c r="L56" s="10" t="s">
        <v>53</v>
      </c>
      <c r="M56" s="10" t="s">
        <v>32</v>
      </c>
    </row>
    <row r="57" spans="1:13" ht="15">
      <c r="A57" s="13">
        <v>46157</v>
      </c>
      <c r="B57" s="10" t="s">
        <v>110</v>
      </c>
      <c r="C57" s="10" t="s">
        <v>116</v>
      </c>
      <c r="D57" s="10"/>
      <c r="E57" s="11">
        <v>1</v>
      </c>
      <c r="F57" s="10" t="s">
        <v>123</v>
      </c>
      <c r="G57" s="10" t="s">
        <v>126</v>
      </c>
      <c r="H57" s="10" t="s">
        <v>126</v>
      </c>
      <c r="I57" s="10" t="s">
        <v>123</v>
      </c>
      <c r="J57" s="10" t="s">
        <v>155</v>
      </c>
      <c r="K57" s="10" t="s">
        <v>15</v>
      </c>
      <c r="L57" s="10" t="s">
        <v>156</v>
      </c>
      <c r="M57" s="10" t="s">
        <v>32</v>
      </c>
    </row>
    <row r="58" spans="1:13" ht="15">
      <c r="A58" s="10" t="s">
        <v>32</v>
      </c>
      <c r="B58" s="10" t="s">
        <v>32</v>
      </c>
      <c r="C58" s="10" t="s">
        <v>32</v>
      </c>
      <c r="D58" s="10" t="s">
        <v>32</v>
      </c>
      <c r="E58" s="11" t="s">
        <v>32</v>
      </c>
      <c r="F58" s="10" t="s">
        <v>32</v>
      </c>
      <c r="G58" s="10" t="s">
        <v>32</v>
      </c>
      <c r="H58" s="10" t="s">
        <v>32</v>
      </c>
      <c r="I58" s="10" t="s">
        <v>32</v>
      </c>
      <c r="J58" s="10" t="s">
        <v>32</v>
      </c>
      <c r="K58" s="10" t="s">
        <v>32</v>
      </c>
      <c r="L58" s="10" t="s">
        <v>32</v>
      </c>
      <c r="M58" s="10" t="s">
        <v>32</v>
      </c>
    </row>
    <row r="59" spans="1:1" ht="15">
      <c r="A59" s="10"/>
    </row>
  </sheetData>
  <autoFilter ref="A1:M1"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E31D3308-3198-4A8F-947F-E68721F34294}">
  <sheetPr>
    <tabColor rgb="FFCEFCCE"/>
  </sheetPr>
  <dimension ref="A1:E8"/>
  <sheetViews>
    <sheetView workbookViewId="0" topLeftCell="A1"/>
  </sheetViews>
  <sheetFormatPr defaultRowHeight="15"/>
  <cols>
    <col min="1" max="1" width="17.7142857142857" bestFit="1" customWidth="1"/>
    <col min="2" max="2" width="25.5714285714286" bestFit="1" customWidth="1"/>
    <col min="3" max="3" width="27.5714285714286" bestFit="1" customWidth="1"/>
    <col min="4" max="4" width="32.5714285714286" bestFit="1" customWidth="1"/>
    <col min="5" max="5" width="34.7142857142857" bestFit="1" customWidth="1"/>
  </cols>
  <sheetData>
    <row r="1" spans="1:1" ht="28.5">
      <c r="A1" s="4" t="s">
        <v>30</v>
      </c>
    </row>
    <row r="3" spans="2:2" ht="15">
      <c r="B3" s="5" t="s">
        <v>25</v>
      </c>
    </row>
    <row r="4" spans="2:5" ht="15">
      <c r="B4" t="s">
        <v>28</v>
      </c>
      <c r="D4" t="s">
        <v>44</v>
      </c>
      <c r="E4" t="s">
        <v>45</v>
      </c>
    </row>
    <row r="5" spans="1:3" ht="15">
      <c r="A5" s="5" t="s">
        <v>27</v>
      </c>
      <c r="B5" t="s">
        <v>42</v>
      </c>
      <c r="C5" t="s">
        <v>46</v>
      </c>
    </row>
    <row r="6" spans="1:5" ht="15">
      <c r="A6" s="6" t="s">
        <v>28</v>
      </c>
      <c r="C6" s="8" t="e">
        <v>#DIV/0!</v>
      </c>
      <c r="E6" s="8" t="e">
        <v>#DIV/0!</v>
      </c>
    </row>
    <row r="7" spans="1:5" ht="15">
      <c r="A7" s="7" t="s">
        <v>28</v>
      </c>
      <c r="C7" s="8" t="e">
        <v>#DIV/0!</v>
      </c>
      <c r="E7" s="8" t="e">
        <v>#DIV/0!</v>
      </c>
    </row>
    <row r="8" spans="1:5" ht="15">
      <c r="A8" s="6" t="s">
        <v>26</v>
      </c>
      <c r="C8" s="8" t="e">
        <v>#DIV/0!</v>
      </c>
      <c r="E8" s="8" t="e">
        <v>#DIV/0!</v>
      </c>
    </row>
  </sheetData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755C16F1-8E43-4DBA-8040-FD9AEE43B4DF}">
  <sheetPr>
    <tabColor rgb="FFCEFCCE"/>
  </sheetPr>
  <dimension ref="A1:E8"/>
  <sheetViews>
    <sheetView workbookViewId="0" topLeftCell="A1"/>
  </sheetViews>
  <sheetFormatPr defaultRowHeight="15"/>
  <cols>
    <col min="1" max="1" width="17.7142857142857" bestFit="1" customWidth="1"/>
    <col min="2" max="2" width="25.5714285714286" bestFit="1" customWidth="1"/>
    <col min="3" max="3" width="27.5714285714286" bestFit="1" customWidth="1"/>
    <col min="4" max="4" width="32.5714285714286" bestFit="1" customWidth="1"/>
    <col min="5" max="5" width="34.7142857142857" bestFit="1" customWidth="1"/>
  </cols>
  <sheetData>
    <row r="1" spans="1:1" ht="28.5">
      <c r="A1" s="4" t="s">
        <v>43</v>
      </c>
    </row>
    <row r="3" spans="2:2" ht="15">
      <c r="B3" s="5" t="s">
        <v>25</v>
      </c>
    </row>
    <row r="4" spans="2:5" ht="15">
      <c r="B4" t="s">
        <v>28</v>
      </c>
      <c r="D4" t="s">
        <v>44</v>
      </c>
      <c r="E4" t="s">
        <v>45</v>
      </c>
    </row>
    <row r="5" spans="1:3" ht="15">
      <c r="A5" s="5" t="s">
        <v>27</v>
      </c>
      <c r="B5" t="s">
        <v>42</v>
      </c>
      <c r="C5" t="s">
        <v>46</v>
      </c>
    </row>
    <row r="6" spans="1:5" ht="15">
      <c r="A6" s="6" t="s">
        <v>28</v>
      </c>
      <c r="C6" s="8" t="e">
        <v>#DIV/0!</v>
      </c>
      <c r="E6" s="8" t="e">
        <v>#DIV/0!</v>
      </c>
    </row>
    <row r="7" spans="1:5" ht="15">
      <c r="A7" s="7" t="s">
        <v>28</v>
      </c>
      <c r="C7" s="8" t="e">
        <v>#DIV/0!</v>
      </c>
      <c r="E7" s="8" t="e">
        <v>#DIV/0!</v>
      </c>
    </row>
    <row r="8" spans="1:5" ht="15">
      <c r="A8" s="6" t="s">
        <v>26</v>
      </c>
      <c r="C8" s="8" t="e">
        <v>#DIV/0!</v>
      </c>
      <c r="E8" s="8" t="e">
        <v>#DIV/0!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EF5EA700-06A6-49BF-9211-0ED955FE4561}">
  <sheetPr>
    <tabColor rgb="FFCEFCCE"/>
  </sheetPr>
  <dimension ref="A1:E11"/>
  <sheetViews>
    <sheetView workbookViewId="0" topLeftCell="A1"/>
  </sheetViews>
  <sheetFormatPr defaultRowHeight="15"/>
  <cols>
    <col min="1" max="1" width="48.4285714285714" bestFit="1" customWidth="1"/>
    <col min="2" max="2" width="14" bestFit="1" customWidth="1"/>
    <col min="3" max="3" width="25.7142857142857" bestFit="1" customWidth="1"/>
    <col min="4" max="4" width="17.7142857142857" bestFit="1" customWidth="1"/>
    <col min="5" max="5" width="14.2857142857143" bestFit="1" customWidth="1"/>
  </cols>
  <sheetData>
    <row r="1" spans="1:1" ht="28.5">
      <c r="A1" s="4" t="s">
        <v>29</v>
      </c>
    </row>
    <row r="3" spans="1:2" ht="15">
      <c r="A3" s="5" t="s">
        <v>4</v>
      </c>
      <c r="B3" t="s">
        <v>28</v>
      </c>
    </row>
    <row r="4" spans="1:2" ht="15">
      <c r="A4" s="5" t="s">
        <v>39</v>
      </c>
      <c r="B4" t="s">
        <v>28</v>
      </c>
    </row>
    <row r="5" spans="1:2" ht="15">
      <c r="A5" s="5" t="s">
        <v>40</v>
      </c>
      <c r="B5" t="s">
        <v>28</v>
      </c>
    </row>
    <row r="7" spans="1:4" ht="15">
      <c r="A7" s="5" t="s">
        <v>42</v>
      </c>
      <c r="D7" s="5" t="s">
        <v>25</v>
      </c>
    </row>
    <row r="8" spans="1:5" ht="15">
      <c r="A8" s="5" t="s">
        <v>27</v>
      </c>
      <c r="B8" s="5" t="s">
        <v>5</v>
      </c>
      <c r="C8" s="5" t="s">
        <v>22</v>
      </c>
      <c r="D8" t="s">
        <v>28</v>
      </c>
      <c r="E8" t="s">
        <v>26</v>
      </c>
    </row>
    <row r="9" spans="1:3" ht="15">
      <c r="A9" t="s">
        <v>28</v>
      </c>
      <c r="B9" t="s">
        <v>28</v>
      </c>
      <c r="C9" t="s">
        <v>28</v>
      </c>
    </row>
    <row r="10" spans="1:1" ht="15">
      <c r="A10" t="s">
        <v>34</v>
      </c>
    </row>
    <row r="11" spans="1:1" ht="15">
      <c r="A11" t="s">
        <v>26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2E296390-CF49-4461-8F08-A82829DC3607}">
  <sheetPr>
    <tabColor rgb="FFCEFCCE"/>
  </sheetPr>
  <dimension ref="A1:R34"/>
  <sheetViews>
    <sheetView workbookViewId="0" topLeftCell="A1"/>
  </sheetViews>
  <sheetFormatPr defaultRowHeight="15"/>
  <cols>
    <col min="1" max="1" width="10.4285714285714" style="10" customWidth="1"/>
    <col min="2" max="3" width="13.7142857142857" style="10" customWidth="1"/>
    <col min="4" max="4" width="15.1428571428571" style="10" customWidth="1"/>
    <col min="5" max="5" width="21.2857142857143" style="11" customWidth="1"/>
    <col min="6" max="6" width="13.7142857142857" style="10" customWidth="1"/>
    <col min="7" max="7" width="39" style="10" customWidth="1"/>
    <col min="8" max="8" width="50" style="10" customWidth="1"/>
    <col min="9" max="9" width="26.5714285714286" style="10" customWidth="1"/>
    <col min="10" max="10" width="24" style="10" customWidth="1"/>
    <col min="11" max="11" width="21.4285714285714" style="10" customWidth="1"/>
    <col min="12" max="12" width="32" style="10" customWidth="1"/>
    <col min="13" max="13" width="49.2857142857143" style="10" customWidth="1"/>
    <col min="14" max="14" width="33.7142857142857" style="10" customWidth="1"/>
    <col min="15" max="15" width="22" style="10" customWidth="1"/>
    <col min="16" max="16" width="32.5714285714286" style="10" customWidth="1"/>
    <col min="17" max="18" width="17.8571428571429" style="10" customWidth="1"/>
  </cols>
  <sheetData>
    <row r="1" spans="1:18" ht="56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41</v>
      </c>
      <c r="F1" s="12" t="s">
        <v>4</v>
      </c>
      <c r="G1" s="12" t="s">
        <v>39</v>
      </c>
      <c r="H1" s="12" t="s">
        <v>40</v>
      </c>
      <c r="I1" s="12" t="s">
        <v>5</v>
      </c>
      <c r="J1" s="12" t="s">
        <v>6</v>
      </c>
      <c r="K1" s="12" t="s">
        <v>7</v>
      </c>
      <c r="L1" s="12" t="s">
        <v>14</v>
      </c>
      <c r="M1" s="12" t="s">
        <v>22</v>
      </c>
      <c r="N1" s="12" t="s">
        <v>8</v>
      </c>
      <c r="O1" s="12" t="s">
        <v>9</v>
      </c>
      <c r="P1" s="12" t="s">
        <v>10</v>
      </c>
      <c r="Q1" s="12" t="s">
        <v>11</v>
      </c>
      <c r="R1" s="12" t="s">
        <v>12</v>
      </c>
    </row>
    <row r="2" spans="1:18" ht="15">
      <c r="A2" s="13">
        <v>46153</v>
      </c>
      <c r="B2" s="10" t="s">
        <v>24</v>
      </c>
      <c r="C2" s="10" t="s">
        <v>37</v>
      </c>
      <c r="D2" s="10">
        <v>2</v>
      </c>
      <c r="E2" s="11">
        <v>1</v>
      </c>
      <c r="F2" s="10" t="s">
        <v>31</v>
      </c>
      <c r="G2" s="10" t="s">
        <v>13</v>
      </c>
      <c r="H2" s="10" t="s">
        <v>13</v>
      </c>
      <c r="I2" s="10" t="s">
        <v>38</v>
      </c>
      <c r="J2" s="10" t="s">
        <v>20</v>
      </c>
      <c r="K2" s="10" t="s">
        <v>15</v>
      </c>
      <c r="L2" s="10" t="s">
        <v>19</v>
      </c>
      <c r="M2" s="10" t="s">
        <v>38</v>
      </c>
      <c r="N2" s="10" t="s">
        <v>18</v>
      </c>
      <c r="O2" s="10" t="s">
        <v>14</v>
      </c>
      <c r="P2" s="10" t="s">
        <v>17</v>
      </c>
      <c r="Q2" s="10" t="s">
        <v>16</v>
      </c>
      <c r="R2" s="10" t="s">
        <v>36</v>
      </c>
    </row>
    <row r="3" spans="1:18" ht="15">
      <c r="A3" s="13">
        <v>46153</v>
      </c>
      <c r="B3" s="10" t="s">
        <v>35</v>
      </c>
      <c r="C3" s="10" t="s">
        <v>21</v>
      </c>
      <c r="D3" s="10">
        <v>3</v>
      </c>
      <c r="E3" s="11">
        <v>1</v>
      </c>
      <c r="F3" s="10" t="s">
        <v>31</v>
      </c>
      <c r="G3" s="10" t="s">
        <v>48</v>
      </c>
      <c r="H3" s="10" t="s">
        <v>47</v>
      </c>
      <c r="I3" s="10" t="s">
        <v>49</v>
      </c>
      <c r="J3" s="10" t="s">
        <v>50</v>
      </c>
      <c r="K3" s="10" t="s">
        <v>15</v>
      </c>
      <c r="L3" s="10" t="s">
        <v>51</v>
      </c>
      <c r="M3" s="10" t="s">
        <v>52</v>
      </c>
      <c r="N3" s="10" t="s">
        <v>53</v>
      </c>
      <c r="O3" s="10" t="s">
        <v>14</v>
      </c>
      <c r="P3" s="10" t="s">
        <v>54</v>
      </c>
      <c r="Q3" s="10" t="s">
        <v>16</v>
      </c>
      <c r="R3" s="10" t="s">
        <v>36</v>
      </c>
    </row>
    <row r="4" spans="1:18" ht="15">
      <c r="A4" s="13">
        <v>46153</v>
      </c>
      <c r="B4" s="10" t="s">
        <v>35</v>
      </c>
      <c r="C4" s="10" t="s">
        <v>21</v>
      </c>
      <c r="D4" s="10">
        <v>3</v>
      </c>
      <c r="E4" s="11">
        <v>1</v>
      </c>
      <c r="F4" s="10" t="s">
        <v>31</v>
      </c>
      <c r="G4" s="10" t="s">
        <v>55</v>
      </c>
      <c r="H4" s="10" t="s">
        <v>55</v>
      </c>
      <c r="I4" s="10" t="s">
        <v>56</v>
      </c>
      <c r="J4" s="10" t="s">
        <v>57</v>
      </c>
      <c r="K4" s="10" t="s">
        <v>15</v>
      </c>
      <c r="L4" s="10" t="s">
        <v>58</v>
      </c>
      <c r="M4" s="10" t="s">
        <v>59</v>
      </c>
      <c r="N4" s="10" t="s">
        <v>60</v>
      </c>
      <c r="O4" s="10" t="s">
        <v>61</v>
      </c>
      <c r="P4" s="10" t="s">
        <v>17</v>
      </c>
      <c r="Q4" s="10" t="s">
        <v>62</v>
      </c>
      <c r="R4" s="10" t="s">
        <v>36</v>
      </c>
    </row>
    <row r="5" spans="1:18" ht="15">
      <c r="A5" s="13">
        <v>46153</v>
      </c>
      <c r="B5" s="10" t="s">
        <v>63</v>
      </c>
      <c r="C5" s="10" t="s">
        <v>64</v>
      </c>
      <c r="D5" s="10">
        <v>4</v>
      </c>
      <c r="E5" s="11">
        <v>1</v>
      </c>
      <c r="F5" s="10" t="s">
        <v>31</v>
      </c>
      <c r="G5" s="10" t="s">
        <v>48</v>
      </c>
      <c r="H5" s="10" t="s">
        <v>47</v>
      </c>
      <c r="I5" s="10" t="s">
        <v>49</v>
      </c>
      <c r="J5" s="10" t="s">
        <v>50</v>
      </c>
      <c r="K5" s="10" t="s">
        <v>15</v>
      </c>
      <c r="L5" s="10" t="s">
        <v>65</v>
      </c>
      <c r="M5" s="10" t="s">
        <v>66</v>
      </c>
      <c r="N5" s="10" t="s">
        <v>53</v>
      </c>
      <c r="O5" s="10" t="s">
        <v>14</v>
      </c>
      <c r="P5" s="10" t="s">
        <v>17</v>
      </c>
      <c r="Q5" s="10" t="s">
        <v>16</v>
      </c>
      <c r="R5" s="10" t="s">
        <v>36</v>
      </c>
    </row>
    <row r="6" spans="1:18" ht="15">
      <c r="A6" s="13">
        <v>46153</v>
      </c>
      <c r="B6" s="10" t="s">
        <v>63</v>
      </c>
      <c r="C6" s="10" t="s">
        <v>64</v>
      </c>
      <c r="D6" s="10">
        <v>4</v>
      </c>
      <c r="E6" s="11">
        <v>1</v>
      </c>
      <c r="F6" s="10" t="s">
        <v>31</v>
      </c>
      <c r="G6" s="10" t="s">
        <v>67</v>
      </c>
      <c r="H6" s="10" t="s">
        <v>67</v>
      </c>
      <c r="I6" s="10" t="s">
        <v>68</v>
      </c>
      <c r="J6" s="10" t="s">
        <v>69</v>
      </c>
      <c r="K6" s="10" t="s">
        <v>15</v>
      </c>
      <c r="L6" s="10" t="s">
        <v>70</v>
      </c>
      <c r="M6" s="10" t="s">
        <v>71</v>
      </c>
      <c r="N6" s="10" t="s">
        <v>72</v>
      </c>
      <c r="O6" s="10" t="s">
        <v>14</v>
      </c>
      <c r="P6" s="10" t="s">
        <v>17</v>
      </c>
      <c r="Q6" s="10" t="s">
        <v>16</v>
      </c>
      <c r="R6" s="10" t="s">
        <v>36</v>
      </c>
    </row>
    <row r="7" spans="1:18" ht="15">
      <c r="A7" s="13">
        <v>46153</v>
      </c>
      <c r="B7" s="10" t="s">
        <v>63</v>
      </c>
      <c r="C7" s="10" t="s">
        <v>64</v>
      </c>
      <c r="D7" s="10">
        <v>4</v>
      </c>
      <c r="E7" s="11">
        <v>1</v>
      </c>
      <c r="F7" s="10" t="s">
        <v>31</v>
      </c>
      <c r="G7" s="10" t="s">
        <v>73</v>
      </c>
      <c r="H7" s="10" t="s">
        <v>73</v>
      </c>
      <c r="I7" s="10" t="s">
        <v>74</v>
      </c>
      <c r="J7" s="10" t="s">
        <v>75</v>
      </c>
      <c r="K7" s="10" t="s">
        <v>15</v>
      </c>
      <c r="L7" s="10" t="s">
        <v>76</v>
      </c>
      <c r="M7" s="10" t="s">
        <v>77</v>
      </c>
      <c r="N7" s="10" t="s">
        <v>53</v>
      </c>
      <c r="O7" s="10" t="s">
        <v>14</v>
      </c>
      <c r="P7" s="10" t="s">
        <v>54</v>
      </c>
      <c r="Q7" s="10" t="s">
        <v>16</v>
      </c>
      <c r="R7" s="10" t="s">
        <v>36</v>
      </c>
    </row>
    <row r="8" spans="1:18" ht="15">
      <c r="A8" s="13">
        <v>46153</v>
      </c>
      <c r="B8" s="10" t="s">
        <v>78</v>
      </c>
      <c r="C8" s="10" t="s">
        <v>79</v>
      </c>
      <c r="D8" s="10">
        <v>5</v>
      </c>
      <c r="E8" s="11">
        <v>1</v>
      </c>
      <c r="F8" s="10" t="s">
        <v>31</v>
      </c>
      <c r="G8" s="10" t="s">
        <v>48</v>
      </c>
      <c r="H8" s="10" t="s">
        <v>47</v>
      </c>
      <c r="I8" s="10" t="s">
        <v>49</v>
      </c>
      <c r="J8" s="10" t="s">
        <v>50</v>
      </c>
      <c r="K8" s="10" t="s">
        <v>15</v>
      </c>
      <c r="L8" s="10" t="s">
        <v>58</v>
      </c>
      <c r="M8" s="10" t="s">
        <v>59</v>
      </c>
      <c r="N8" s="10" t="s">
        <v>53</v>
      </c>
      <c r="O8" s="10" t="s">
        <v>61</v>
      </c>
      <c r="P8" s="10" t="s">
        <v>17</v>
      </c>
      <c r="Q8" s="10" t="s">
        <v>62</v>
      </c>
      <c r="R8" s="10" t="s">
        <v>36</v>
      </c>
    </row>
    <row r="9" spans="1:18" ht="15">
      <c r="A9" s="13">
        <v>46153</v>
      </c>
      <c r="B9" s="10" t="s">
        <v>78</v>
      </c>
      <c r="C9" s="10" t="s">
        <v>79</v>
      </c>
      <c r="D9" s="10">
        <v>5</v>
      </c>
      <c r="E9" s="11">
        <v>1</v>
      </c>
      <c r="F9" s="10" t="s">
        <v>31</v>
      </c>
      <c r="G9" s="10" t="s">
        <v>80</v>
      </c>
      <c r="H9" s="10" t="s">
        <v>80</v>
      </c>
      <c r="I9" s="10" t="s">
        <v>81</v>
      </c>
      <c r="J9" s="10" t="s">
        <v>57</v>
      </c>
      <c r="K9" s="10" t="s">
        <v>15</v>
      </c>
      <c r="L9" s="10" t="s">
        <v>82</v>
      </c>
      <c r="M9" s="10" t="s">
        <v>83</v>
      </c>
      <c r="N9" s="10" t="s">
        <v>60</v>
      </c>
      <c r="O9" s="10" t="s">
        <v>14</v>
      </c>
      <c r="P9" s="10" t="s">
        <v>54</v>
      </c>
      <c r="Q9" s="10" t="s">
        <v>16</v>
      </c>
      <c r="R9" s="10" t="s">
        <v>36</v>
      </c>
    </row>
    <row r="10" spans="1:18" ht="15">
      <c r="A10" s="13">
        <v>46153</v>
      </c>
      <c r="B10" s="10" t="s">
        <v>84</v>
      </c>
      <c r="C10" s="10" t="s">
        <v>85</v>
      </c>
      <c r="D10" s="10">
        <v>6</v>
      </c>
      <c r="E10" s="11">
        <v>1</v>
      </c>
      <c r="F10" s="10" t="s">
        <v>31</v>
      </c>
      <c r="G10" s="10" t="s">
        <v>48</v>
      </c>
      <c r="H10" s="10" t="s">
        <v>47</v>
      </c>
      <c r="I10" s="10" t="s">
        <v>49</v>
      </c>
      <c r="J10" s="10" t="s">
        <v>50</v>
      </c>
      <c r="K10" s="10" t="s">
        <v>15</v>
      </c>
      <c r="L10" s="10" t="s">
        <v>86</v>
      </c>
      <c r="M10" s="10" t="s">
        <v>87</v>
      </c>
      <c r="N10" s="10" t="s">
        <v>53</v>
      </c>
      <c r="O10" s="10" t="s">
        <v>61</v>
      </c>
      <c r="P10" s="10" t="s">
        <v>54</v>
      </c>
      <c r="Q10" s="10" t="s">
        <v>62</v>
      </c>
      <c r="R10" s="10" t="s">
        <v>36</v>
      </c>
    </row>
    <row r="11" spans="1:18" ht="15">
      <c r="A11" s="13">
        <v>46153</v>
      </c>
      <c r="B11" s="10" t="s">
        <v>84</v>
      </c>
      <c r="C11" s="10" t="s">
        <v>85</v>
      </c>
      <c r="D11" s="10">
        <v>6</v>
      </c>
      <c r="E11" s="11">
        <v>1</v>
      </c>
      <c r="F11" s="10" t="s">
        <v>31</v>
      </c>
      <c r="G11" s="10" t="s">
        <v>88</v>
      </c>
      <c r="H11" s="10" t="s">
        <v>88</v>
      </c>
      <c r="I11" s="10" t="s">
        <v>68</v>
      </c>
      <c r="J11" s="10" t="s">
        <v>69</v>
      </c>
      <c r="K11" s="10" t="s">
        <v>15</v>
      </c>
      <c r="L11" s="10" t="s">
        <v>89</v>
      </c>
      <c r="M11" s="10" t="s">
        <v>90</v>
      </c>
      <c r="N11" s="10" t="s">
        <v>72</v>
      </c>
      <c r="O11" s="10" t="s">
        <v>14</v>
      </c>
      <c r="P11" s="10" t="s">
        <v>54</v>
      </c>
      <c r="Q11" s="10" t="s">
        <v>16</v>
      </c>
      <c r="R11" s="10" t="s">
        <v>36</v>
      </c>
    </row>
    <row r="12" spans="1:18" ht="15">
      <c r="A12" s="13">
        <v>46153</v>
      </c>
      <c r="B12" s="10" t="s">
        <v>84</v>
      </c>
      <c r="C12" s="10" t="s">
        <v>85</v>
      </c>
      <c r="D12" s="10">
        <v>6</v>
      </c>
      <c r="E12" s="11">
        <v>1</v>
      </c>
      <c r="F12" s="10" t="s">
        <v>31</v>
      </c>
      <c r="G12" s="10" t="s">
        <v>80</v>
      </c>
      <c r="H12" s="10" t="s">
        <v>80</v>
      </c>
      <c r="I12" s="10" t="s">
        <v>91</v>
      </c>
      <c r="J12" s="10" t="s">
        <v>92</v>
      </c>
      <c r="K12" s="10" t="s">
        <v>15</v>
      </c>
      <c r="L12" s="10" t="s">
        <v>93</v>
      </c>
      <c r="M12" s="10" t="s">
        <v>91</v>
      </c>
      <c r="N12" s="10" t="s">
        <v>94</v>
      </c>
      <c r="O12" s="10" t="s">
        <v>14</v>
      </c>
      <c r="P12" s="10" t="s">
        <v>17</v>
      </c>
      <c r="Q12" s="10" t="s">
        <v>16</v>
      </c>
      <c r="R12" s="10" t="s">
        <v>36</v>
      </c>
    </row>
    <row r="13" spans="1:18" ht="15">
      <c r="A13" s="13">
        <v>46153</v>
      </c>
      <c r="B13" s="10" t="s">
        <v>84</v>
      </c>
      <c r="C13" s="10" t="s">
        <v>85</v>
      </c>
      <c r="D13" s="10">
        <v>6</v>
      </c>
      <c r="E13" s="11">
        <v>1</v>
      </c>
      <c r="F13" s="10" t="s">
        <v>31</v>
      </c>
      <c r="G13" s="10" t="s">
        <v>95</v>
      </c>
      <c r="H13" s="10" t="s">
        <v>95</v>
      </c>
      <c r="I13" s="10" t="s">
        <v>81</v>
      </c>
      <c r="J13" s="10" t="s">
        <v>57</v>
      </c>
      <c r="K13" s="10" t="s">
        <v>15</v>
      </c>
      <c r="L13" s="10" t="s">
        <v>96</v>
      </c>
      <c r="M13" s="10" t="s">
        <v>97</v>
      </c>
      <c r="N13" s="10" t="s">
        <v>60</v>
      </c>
      <c r="O13" s="10" t="s">
        <v>14</v>
      </c>
      <c r="P13" s="10" t="s">
        <v>17</v>
      </c>
      <c r="Q13" s="10" t="s">
        <v>16</v>
      </c>
      <c r="R13" s="10" t="s">
        <v>36</v>
      </c>
    </row>
    <row r="14" spans="1:18" ht="15">
      <c r="A14" s="13">
        <v>46153</v>
      </c>
      <c r="B14" s="10" t="s">
        <v>98</v>
      </c>
      <c r="C14" s="10" t="s">
        <v>99</v>
      </c>
      <c r="D14" s="10">
        <v>7</v>
      </c>
      <c r="E14" s="11">
        <v>1</v>
      </c>
      <c r="F14" s="10" t="s">
        <v>31</v>
      </c>
      <c r="G14" s="10" t="s">
        <v>48</v>
      </c>
      <c r="H14" s="10" t="s">
        <v>47</v>
      </c>
      <c r="I14" s="10" t="s">
        <v>49</v>
      </c>
      <c r="J14" s="10" t="s">
        <v>50</v>
      </c>
      <c r="K14" s="10" t="s">
        <v>15</v>
      </c>
      <c r="L14" s="10" t="s">
        <v>76</v>
      </c>
      <c r="M14" s="10" t="s">
        <v>49</v>
      </c>
      <c r="N14" s="10" t="s">
        <v>53</v>
      </c>
      <c r="O14" s="10" t="s">
        <v>14</v>
      </c>
      <c r="P14" s="10" t="s">
        <v>17</v>
      </c>
      <c r="Q14" s="10" t="s">
        <v>16</v>
      </c>
      <c r="R14" s="10" t="s">
        <v>36</v>
      </c>
    </row>
    <row r="15" spans="1:18" ht="15">
      <c r="A15" s="13">
        <v>46153</v>
      </c>
      <c r="B15" s="10" t="s">
        <v>98</v>
      </c>
      <c r="C15" s="10" t="s">
        <v>99</v>
      </c>
      <c r="D15" s="10">
        <v>7</v>
      </c>
      <c r="E15" s="11">
        <v>1</v>
      </c>
      <c r="F15" s="10" t="s">
        <v>31</v>
      </c>
      <c r="G15" s="10" t="s">
        <v>88</v>
      </c>
      <c r="H15" s="10" t="s">
        <v>88</v>
      </c>
      <c r="I15" s="10" t="s">
        <v>56</v>
      </c>
      <c r="J15" s="10" t="s">
        <v>57</v>
      </c>
      <c r="K15" s="10" t="s">
        <v>15</v>
      </c>
      <c r="L15" s="10" t="s">
        <v>100</v>
      </c>
      <c r="M15" s="10" t="s">
        <v>90</v>
      </c>
      <c r="N15" s="10" t="s">
        <v>60</v>
      </c>
      <c r="O15" s="10" t="s">
        <v>14</v>
      </c>
      <c r="P15" s="10" t="s">
        <v>54</v>
      </c>
      <c r="Q15" s="10" t="s">
        <v>16</v>
      </c>
      <c r="R15" s="10" t="s">
        <v>36</v>
      </c>
    </row>
    <row r="16" spans="1:18" ht="15">
      <c r="A16" s="13">
        <v>46153</v>
      </c>
      <c r="B16" s="10" t="s">
        <v>101</v>
      </c>
      <c r="C16" s="10" t="s">
        <v>102</v>
      </c>
      <c r="D16" s="10">
        <v>8</v>
      </c>
      <c r="E16" s="11">
        <v>1</v>
      </c>
      <c r="F16" s="10" t="s">
        <v>31</v>
      </c>
      <c r="G16" s="10" t="s">
        <v>48</v>
      </c>
      <c r="H16" s="10" t="s">
        <v>48</v>
      </c>
      <c r="I16" s="10" t="s">
        <v>91</v>
      </c>
      <c r="J16" s="10" t="s">
        <v>50</v>
      </c>
      <c r="K16" s="10" t="s">
        <v>15</v>
      </c>
      <c r="L16" s="10" t="s">
        <v>103</v>
      </c>
      <c r="M16" s="10" t="s">
        <v>91</v>
      </c>
      <c r="N16" s="10" t="s">
        <v>53</v>
      </c>
      <c r="O16" s="10" t="s">
        <v>14</v>
      </c>
      <c r="P16" s="10" t="s">
        <v>17</v>
      </c>
      <c r="Q16" s="10" t="s">
        <v>16</v>
      </c>
      <c r="R16" s="10" t="s">
        <v>36</v>
      </c>
    </row>
    <row r="17" spans="1:18" ht="15">
      <c r="A17" s="13">
        <v>46153</v>
      </c>
      <c r="B17" s="10" t="s">
        <v>101</v>
      </c>
      <c r="C17" s="10" t="s">
        <v>102</v>
      </c>
      <c r="D17" s="10">
        <v>8</v>
      </c>
      <c r="E17" s="11">
        <v>1</v>
      </c>
      <c r="F17" s="10" t="s">
        <v>31</v>
      </c>
      <c r="G17" s="10" t="s">
        <v>104</v>
      </c>
      <c r="H17" s="10" t="s">
        <v>104</v>
      </c>
      <c r="I17" s="10" t="s">
        <v>68</v>
      </c>
      <c r="J17" s="10" t="s">
        <v>105</v>
      </c>
      <c r="K17" s="10" t="s">
        <v>15</v>
      </c>
      <c r="L17" s="10" t="s">
        <v>19</v>
      </c>
      <c r="M17" s="10" t="s">
        <v>38</v>
      </c>
      <c r="N17" s="10" t="s">
        <v>53</v>
      </c>
      <c r="O17" s="10" t="s">
        <v>14</v>
      </c>
      <c r="P17" s="10" t="s">
        <v>17</v>
      </c>
      <c r="Q17" s="10" t="s">
        <v>16</v>
      </c>
      <c r="R17" s="10" t="s">
        <v>36</v>
      </c>
    </row>
    <row r="18" spans="1:18" ht="15">
      <c r="A18" s="13">
        <v>46153</v>
      </c>
      <c r="B18" s="10" t="s">
        <v>101</v>
      </c>
      <c r="C18" s="10" t="s">
        <v>102</v>
      </c>
      <c r="D18" s="10">
        <v>8</v>
      </c>
      <c r="E18" s="11">
        <v>1</v>
      </c>
      <c r="F18" s="10" t="s">
        <v>31</v>
      </c>
      <c r="G18" s="10" t="s">
        <v>106</v>
      </c>
      <c r="H18" s="10" t="s">
        <v>106</v>
      </c>
      <c r="I18" s="10" t="s">
        <v>56</v>
      </c>
      <c r="J18" s="10" t="s">
        <v>57</v>
      </c>
      <c r="K18" s="10" t="s">
        <v>15</v>
      </c>
      <c r="L18" s="10" t="s">
        <v>107</v>
      </c>
      <c r="M18" s="10" t="s">
        <v>108</v>
      </c>
      <c r="N18" s="10" t="s">
        <v>60</v>
      </c>
      <c r="O18" s="10" t="s">
        <v>14</v>
      </c>
      <c r="P18" s="10" t="s">
        <v>17</v>
      </c>
      <c r="Q18" s="10" t="s">
        <v>16</v>
      </c>
      <c r="R18" s="10" t="s">
        <v>36</v>
      </c>
    </row>
    <row r="19" spans="1:18" ht="15">
      <c r="A19" s="13">
        <v>46153</v>
      </c>
      <c r="B19" s="10" t="s">
        <v>109</v>
      </c>
      <c r="C19" s="10" t="s">
        <v>110</v>
      </c>
      <c r="D19" s="10">
        <v>9</v>
      </c>
      <c r="E19" s="11">
        <v>1</v>
      </c>
      <c r="F19" s="10" t="s">
        <v>31</v>
      </c>
      <c r="G19" s="10" t="s">
        <v>111</v>
      </c>
      <c r="H19" s="10" t="s">
        <v>111</v>
      </c>
      <c r="I19" s="10" t="s">
        <v>56</v>
      </c>
      <c r="J19" s="10" t="s">
        <v>57</v>
      </c>
      <c r="K19" s="10" t="s">
        <v>15</v>
      </c>
      <c r="L19" s="10" t="s">
        <v>70</v>
      </c>
      <c r="M19" s="10" t="s">
        <v>112</v>
      </c>
      <c r="N19" s="10" t="s">
        <v>60</v>
      </c>
      <c r="O19" s="10" t="s">
        <v>14</v>
      </c>
      <c r="P19" s="10" t="s">
        <v>54</v>
      </c>
      <c r="Q19" s="10" t="s">
        <v>16</v>
      </c>
      <c r="R19" s="10" t="s">
        <v>36</v>
      </c>
    </row>
    <row r="20" spans="1:18" ht="15">
      <c r="A20" s="13">
        <v>46153</v>
      </c>
      <c r="B20" s="10" t="s">
        <v>109</v>
      </c>
      <c r="C20" s="10" t="s">
        <v>110</v>
      </c>
      <c r="D20" s="10">
        <v>9</v>
      </c>
      <c r="E20" s="11">
        <v>1</v>
      </c>
      <c r="F20" s="10" t="s">
        <v>31</v>
      </c>
      <c r="G20" s="10" t="s">
        <v>113</v>
      </c>
      <c r="H20" s="10" t="s">
        <v>113</v>
      </c>
      <c r="I20" s="10" t="s">
        <v>68</v>
      </c>
      <c r="J20" s="10" t="s">
        <v>105</v>
      </c>
      <c r="K20" s="10" t="s">
        <v>15</v>
      </c>
      <c r="L20" s="10" t="s">
        <v>114</v>
      </c>
      <c r="M20" s="10" t="s">
        <v>115</v>
      </c>
      <c r="N20" s="10" t="s">
        <v>53</v>
      </c>
      <c r="O20" s="10" t="s">
        <v>14</v>
      </c>
      <c r="P20" s="10" t="s">
        <v>17</v>
      </c>
      <c r="Q20" s="10" t="s">
        <v>16</v>
      </c>
      <c r="R20" s="10" t="s">
        <v>36</v>
      </c>
    </row>
    <row r="21" spans="1:18" ht="15">
      <c r="A21" s="13">
        <v>46153</v>
      </c>
      <c r="B21" s="10" t="s">
        <v>116</v>
      </c>
      <c r="C21" s="10" t="s">
        <v>117</v>
      </c>
      <c r="D21" s="10">
        <v>10</v>
      </c>
      <c r="E21" s="11">
        <v>1</v>
      </c>
      <c r="F21" s="10" t="s">
        <v>31</v>
      </c>
      <c r="G21" s="10" t="s">
        <v>118</v>
      </c>
      <c r="H21" s="10" t="s">
        <v>118</v>
      </c>
      <c r="I21" s="10" t="s">
        <v>68</v>
      </c>
      <c r="J21" s="10" t="s">
        <v>105</v>
      </c>
      <c r="K21" s="10" t="s">
        <v>15</v>
      </c>
      <c r="L21" s="10" t="s">
        <v>119</v>
      </c>
      <c r="M21" s="10" t="s">
        <v>120</v>
      </c>
      <c r="N21" s="10" t="s">
        <v>53</v>
      </c>
      <c r="O21" s="10" t="s">
        <v>14</v>
      </c>
      <c r="P21" s="10" t="s">
        <v>54</v>
      </c>
      <c r="Q21" s="10" t="s">
        <v>16</v>
      </c>
      <c r="R21" s="10" t="s">
        <v>36</v>
      </c>
    </row>
    <row r="22" spans="1:18" ht="15">
      <c r="A22" s="13">
        <v>46153</v>
      </c>
      <c r="B22" s="10" t="s">
        <v>121</v>
      </c>
      <c r="C22" s="10" t="s">
        <v>122</v>
      </c>
      <c r="D22" s="10"/>
      <c r="E22" s="11">
        <v>1</v>
      </c>
      <c r="F22" s="10" t="s">
        <v>123</v>
      </c>
      <c r="G22" s="10" t="s">
        <v>124</v>
      </c>
      <c r="H22" s="10" t="s">
        <v>124</v>
      </c>
      <c r="I22" s="10" t="s">
        <v>123</v>
      </c>
      <c r="J22" s="10" t="s">
        <v>92</v>
      </c>
      <c r="K22" s="10" t="s">
        <v>15</v>
      </c>
      <c r="L22" s="10" t="s">
        <v>125</v>
      </c>
      <c r="M22" s="10" t="s">
        <v>123</v>
      </c>
      <c r="N22" s="10" t="s">
        <v>94</v>
      </c>
      <c r="O22" s="10" t="s">
        <v>32</v>
      </c>
      <c r="P22" s="10" t="s">
        <v>32</v>
      </c>
      <c r="Q22" s="10" t="s">
        <v>32</v>
      </c>
      <c r="R22" s="10" t="s">
        <v>32</v>
      </c>
    </row>
    <row r="23" spans="1:18" ht="15">
      <c r="A23" s="13">
        <v>46153</v>
      </c>
      <c r="B23" s="10" t="s">
        <v>37</v>
      </c>
      <c r="C23" s="10" t="s">
        <v>35</v>
      </c>
      <c r="D23" s="10"/>
      <c r="E23" s="11">
        <v>1</v>
      </c>
      <c r="F23" s="10" t="s">
        <v>123</v>
      </c>
      <c r="G23" s="10" t="s">
        <v>124</v>
      </c>
      <c r="H23" s="10" t="s">
        <v>124</v>
      </c>
      <c r="I23" s="10" t="s">
        <v>123</v>
      </c>
      <c r="J23" s="10" t="s">
        <v>57</v>
      </c>
      <c r="K23" s="10" t="s">
        <v>15</v>
      </c>
      <c r="L23" s="10" t="s">
        <v>107</v>
      </c>
      <c r="M23" s="10" t="s">
        <v>123</v>
      </c>
      <c r="N23" s="10" t="s">
        <v>60</v>
      </c>
      <c r="O23" s="10" t="s">
        <v>32</v>
      </c>
      <c r="P23" s="10" t="s">
        <v>32</v>
      </c>
      <c r="Q23" s="10" t="s">
        <v>32</v>
      </c>
      <c r="R23" s="10" t="s">
        <v>32</v>
      </c>
    </row>
    <row r="24" spans="1:18" ht="15">
      <c r="A24" s="13">
        <v>46153</v>
      </c>
      <c r="B24" s="10" t="s">
        <v>37</v>
      </c>
      <c r="C24" s="10" t="s">
        <v>35</v>
      </c>
      <c r="D24" s="10"/>
      <c r="E24" s="11">
        <v>1</v>
      </c>
      <c r="F24" s="10" t="s">
        <v>123</v>
      </c>
      <c r="G24" s="10" t="s">
        <v>126</v>
      </c>
      <c r="H24" s="10" t="s">
        <v>126</v>
      </c>
      <c r="I24" s="10" t="s">
        <v>123</v>
      </c>
      <c r="J24" s="10" t="s">
        <v>50</v>
      </c>
      <c r="K24" s="10" t="s">
        <v>15</v>
      </c>
      <c r="L24" s="10" t="s">
        <v>82</v>
      </c>
      <c r="M24" s="10" t="s">
        <v>123</v>
      </c>
      <c r="N24" s="10" t="s">
        <v>53</v>
      </c>
      <c r="O24" s="10" t="s">
        <v>32</v>
      </c>
      <c r="P24" s="10" t="s">
        <v>32</v>
      </c>
      <c r="Q24" s="10" t="s">
        <v>32</v>
      </c>
      <c r="R24" s="10" t="s">
        <v>32</v>
      </c>
    </row>
    <row r="25" spans="1:18" ht="15">
      <c r="A25" s="13">
        <v>46153</v>
      </c>
      <c r="B25" s="10" t="s">
        <v>21</v>
      </c>
      <c r="C25" s="10" t="s">
        <v>63</v>
      </c>
      <c r="D25" s="10"/>
      <c r="E25" s="11">
        <v>1</v>
      </c>
      <c r="F25" s="10" t="s">
        <v>123</v>
      </c>
      <c r="G25" s="10" t="s">
        <v>127</v>
      </c>
      <c r="H25" s="10" t="s">
        <v>127</v>
      </c>
      <c r="I25" s="10" t="s">
        <v>123</v>
      </c>
      <c r="J25" s="10" t="s">
        <v>92</v>
      </c>
      <c r="K25" s="10" t="s">
        <v>15</v>
      </c>
      <c r="L25" s="10" t="s">
        <v>125</v>
      </c>
      <c r="M25" s="10" t="s">
        <v>123</v>
      </c>
      <c r="N25" s="10" t="s">
        <v>94</v>
      </c>
      <c r="O25" s="10" t="s">
        <v>32</v>
      </c>
      <c r="P25" s="10" t="s">
        <v>32</v>
      </c>
      <c r="Q25" s="10" t="s">
        <v>32</v>
      </c>
      <c r="R25" s="10" t="s">
        <v>32</v>
      </c>
    </row>
    <row r="26" spans="1:18" ht="15">
      <c r="A26" s="13">
        <v>46153</v>
      </c>
      <c r="B26" s="10" t="s">
        <v>64</v>
      </c>
      <c r="C26" s="10" t="s">
        <v>78</v>
      </c>
      <c r="D26" s="10"/>
      <c r="E26" s="11">
        <v>1</v>
      </c>
      <c r="F26" s="10" t="s">
        <v>123</v>
      </c>
      <c r="G26" s="10" t="s">
        <v>124</v>
      </c>
      <c r="H26" s="10" t="s">
        <v>124</v>
      </c>
      <c r="I26" s="10" t="s">
        <v>123</v>
      </c>
      <c r="J26" s="10" t="s">
        <v>92</v>
      </c>
      <c r="K26" s="10" t="s">
        <v>15</v>
      </c>
      <c r="L26" s="10" t="s">
        <v>125</v>
      </c>
      <c r="M26" s="10" t="s">
        <v>123</v>
      </c>
      <c r="N26" s="10" t="s">
        <v>94</v>
      </c>
      <c r="O26" s="10" t="s">
        <v>32</v>
      </c>
      <c r="P26" s="10" t="s">
        <v>32</v>
      </c>
      <c r="Q26" s="10" t="s">
        <v>32</v>
      </c>
      <c r="R26" s="10" t="s">
        <v>32</v>
      </c>
    </row>
    <row r="27" spans="1:18" ht="15">
      <c r="A27" s="13">
        <v>46153</v>
      </c>
      <c r="B27" s="10" t="s">
        <v>79</v>
      </c>
      <c r="C27" s="10" t="s">
        <v>84</v>
      </c>
      <c r="D27" s="10"/>
      <c r="E27" s="11">
        <v>1</v>
      </c>
      <c r="F27" s="10" t="s">
        <v>123</v>
      </c>
      <c r="G27" s="10" t="s">
        <v>126</v>
      </c>
      <c r="H27" s="10" t="s">
        <v>126</v>
      </c>
      <c r="I27" s="10" t="s">
        <v>123</v>
      </c>
      <c r="J27" s="10" t="s">
        <v>69</v>
      </c>
      <c r="K27" s="10" t="s">
        <v>15</v>
      </c>
      <c r="L27" s="10" t="s">
        <v>100</v>
      </c>
      <c r="M27" s="10" t="s">
        <v>123</v>
      </c>
      <c r="N27" s="10" t="s">
        <v>72</v>
      </c>
      <c r="O27" s="10" t="s">
        <v>32</v>
      </c>
      <c r="P27" s="10" t="s">
        <v>32</v>
      </c>
      <c r="Q27" s="10" t="s">
        <v>32</v>
      </c>
      <c r="R27" s="10" t="s">
        <v>32</v>
      </c>
    </row>
    <row r="28" spans="1:18" ht="15">
      <c r="A28" s="13">
        <v>46153</v>
      </c>
      <c r="B28" s="10" t="s">
        <v>79</v>
      </c>
      <c r="C28" s="10" t="s">
        <v>84</v>
      </c>
      <c r="D28" s="10"/>
      <c r="E28" s="11">
        <v>1</v>
      </c>
      <c r="F28" s="10" t="s">
        <v>123</v>
      </c>
      <c r="G28" s="10" t="s">
        <v>128</v>
      </c>
      <c r="H28" s="10" t="s">
        <v>128</v>
      </c>
      <c r="I28" s="10" t="s">
        <v>123</v>
      </c>
      <c r="J28" s="10" t="s">
        <v>50</v>
      </c>
      <c r="K28" s="10" t="s">
        <v>15</v>
      </c>
      <c r="L28" s="10" t="s">
        <v>76</v>
      </c>
      <c r="M28" s="10" t="s">
        <v>123</v>
      </c>
      <c r="N28" s="10" t="s">
        <v>53</v>
      </c>
      <c r="O28" s="10" t="s">
        <v>32</v>
      </c>
      <c r="P28" s="10" t="s">
        <v>32</v>
      </c>
      <c r="Q28" s="10" t="s">
        <v>32</v>
      </c>
      <c r="R28" s="10" t="s">
        <v>32</v>
      </c>
    </row>
    <row r="29" spans="1:18" ht="15">
      <c r="A29" s="13">
        <v>46153</v>
      </c>
      <c r="B29" s="10" t="s">
        <v>85</v>
      </c>
      <c r="C29" s="10" t="s">
        <v>98</v>
      </c>
      <c r="D29" s="10"/>
      <c r="E29" s="11">
        <v>1</v>
      </c>
      <c r="F29" s="10" t="s">
        <v>123</v>
      </c>
      <c r="G29" s="10" t="s">
        <v>127</v>
      </c>
      <c r="H29" s="10" t="s">
        <v>127</v>
      </c>
      <c r="I29" s="10" t="s">
        <v>123</v>
      </c>
      <c r="J29" s="10" t="s">
        <v>57</v>
      </c>
      <c r="K29" s="10" t="s">
        <v>15</v>
      </c>
      <c r="L29" s="10" t="s">
        <v>129</v>
      </c>
      <c r="M29" s="10" t="s">
        <v>123</v>
      </c>
      <c r="N29" s="10" t="s">
        <v>60</v>
      </c>
      <c r="O29" s="10" t="s">
        <v>32</v>
      </c>
      <c r="P29" s="10" t="s">
        <v>32</v>
      </c>
      <c r="Q29" s="10" t="s">
        <v>32</v>
      </c>
      <c r="R29" s="10" t="s">
        <v>32</v>
      </c>
    </row>
    <row r="30" spans="1:18" ht="15">
      <c r="A30" s="13">
        <v>46153</v>
      </c>
      <c r="B30" s="10" t="s">
        <v>110</v>
      </c>
      <c r="C30" s="10" t="s">
        <v>116</v>
      </c>
      <c r="D30" s="10"/>
      <c r="E30" s="11">
        <v>1</v>
      </c>
      <c r="F30" s="10" t="s">
        <v>123</v>
      </c>
      <c r="G30" s="10" t="s">
        <v>124</v>
      </c>
      <c r="H30" s="10" t="s">
        <v>124</v>
      </c>
      <c r="I30" s="10" t="s">
        <v>123</v>
      </c>
      <c r="J30" s="10" t="s">
        <v>57</v>
      </c>
      <c r="K30" s="10" t="s">
        <v>15</v>
      </c>
      <c r="L30" s="10" t="s">
        <v>130</v>
      </c>
      <c r="M30" s="10" t="s">
        <v>123</v>
      </c>
      <c r="N30" s="10" t="s">
        <v>60</v>
      </c>
      <c r="O30" s="10" t="s">
        <v>32</v>
      </c>
      <c r="P30" s="10" t="s">
        <v>32</v>
      </c>
      <c r="Q30" s="10" t="s">
        <v>32</v>
      </c>
      <c r="R30" s="10" t="s">
        <v>32</v>
      </c>
    </row>
    <row r="31" spans="1:18" ht="15">
      <c r="A31" s="13">
        <v>46153</v>
      </c>
      <c r="B31" s="10" t="s">
        <v>110</v>
      </c>
      <c r="C31" s="10" t="s">
        <v>116</v>
      </c>
      <c r="D31" s="10"/>
      <c r="E31" s="11">
        <v>1</v>
      </c>
      <c r="F31" s="10" t="s">
        <v>123</v>
      </c>
      <c r="G31" s="10" t="s">
        <v>126</v>
      </c>
      <c r="H31" s="10" t="s">
        <v>126</v>
      </c>
      <c r="I31" s="10" t="s">
        <v>123</v>
      </c>
      <c r="J31" s="10" t="s">
        <v>75</v>
      </c>
      <c r="K31" s="10" t="s">
        <v>15</v>
      </c>
      <c r="L31" s="10" t="s">
        <v>131</v>
      </c>
      <c r="M31" s="10" t="s">
        <v>123</v>
      </c>
      <c r="N31" s="10" t="s">
        <v>53</v>
      </c>
      <c r="O31" s="10" t="s">
        <v>32</v>
      </c>
      <c r="P31" s="10" t="s">
        <v>32</v>
      </c>
      <c r="Q31" s="10" t="s">
        <v>32</v>
      </c>
      <c r="R31" s="10" t="s">
        <v>32</v>
      </c>
    </row>
    <row r="32" spans="1:18" ht="15">
      <c r="A32" s="13">
        <v>46153</v>
      </c>
      <c r="B32" s="10" t="s">
        <v>117</v>
      </c>
      <c r="C32" s="10" t="s">
        <v>132</v>
      </c>
      <c r="D32" s="10"/>
      <c r="E32" s="11">
        <v>1</v>
      </c>
      <c r="F32" s="10" t="s">
        <v>123</v>
      </c>
      <c r="G32" s="10" t="s">
        <v>126</v>
      </c>
      <c r="H32" s="10" t="s">
        <v>126</v>
      </c>
      <c r="I32" s="10" t="s">
        <v>123</v>
      </c>
      <c r="J32" s="10" t="s">
        <v>75</v>
      </c>
      <c r="K32" s="10" t="s">
        <v>15</v>
      </c>
      <c r="L32" s="10" t="s">
        <v>133</v>
      </c>
      <c r="M32" s="10" t="s">
        <v>123</v>
      </c>
      <c r="N32" s="10" t="s">
        <v>53</v>
      </c>
      <c r="O32" s="10" t="s">
        <v>32</v>
      </c>
      <c r="P32" s="10" t="s">
        <v>32</v>
      </c>
      <c r="Q32" s="10" t="s">
        <v>32</v>
      </c>
      <c r="R32" s="10" t="s">
        <v>32</v>
      </c>
    </row>
    <row r="33" spans="1:18" ht="15">
      <c r="A33" s="13">
        <v>46153</v>
      </c>
      <c r="B33" s="10" t="s">
        <v>134</v>
      </c>
      <c r="C33" s="10" t="s">
        <v>135</v>
      </c>
      <c r="D33" s="10"/>
      <c r="E33" s="11">
        <v>1</v>
      </c>
      <c r="F33" s="10" t="s">
        <v>123</v>
      </c>
      <c r="G33" s="10" t="s">
        <v>126</v>
      </c>
      <c r="H33" s="10" t="s">
        <v>126</v>
      </c>
      <c r="I33" s="10" t="s">
        <v>123</v>
      </c>
      <c r="J33" s="10" t="s">
        <v>75</v>
      </c>
      <c r="K33" s="10" t="s">
        <v>15</v>
      </c>
      <c r="L33" s="10" t="s">
        <v>131</v>
      </c>
      <c r="M33" s="10" t="s">
        <v>123</v>
      </c>
      <c r="N33" s="10" t="s">
        <v>53</v>
      </c>
      <c r="O33" s="10" t="s">
        <v>32</v>
      </c>
      <c r="P33" s="10" t="s">
        <v>32</v>
      </c>
      <c r="Q33" s="10" t="s">
        <v>32</v>
      </c>
      <c r="R33" s="10" t="s">
        <v>32</v>
      </c>
    </row>
    <row r="34" spans="1:18" ht="15">
      <c r="A34" s="10" t="s">
        <v>32</v>
      </c>
      <c r="B34" s="10" t="s">
        <v>32</v>
      </c>
      <c r="C34" s="10" t="s">
        <v>32</v>
      </c>
      <c r="D34" s="10" t="s">
        <v>32</v>
      </c>
      <c r="E34" s="11" t="s">
        <v>32</v>
      </c>
      <c r="F34" s="10" t="s">
        <v>32</v>
      </c>
      <c r="G34" s="10" t="s">
        <v>32</v>
      </c>
      <c r="H34" s="10" t="s">
        <v>32</v>
      </c>
      <c r="I34" s="10" t="s">
        <v>32</v>
      </c>
      <c r="J34" s="10" t="s">
        <v>32</v>
      </c>
      <c r="K34" s="10" t="s">
        <v>32</v>
      </c>
      <c r="L34" s="10" t="s">
        <v>32</v>
      </c>
      <c r="M34" s="10" t="s">
        <v>32</v>
      </c>
      <c r="N34" s="10" t="s">
        <v>32</v>
      </c>
      <c r="O34" s="10" t="s">
        <v>32</v>
      </c>
      <c r="P34" s="10" t="s">
        <v>32</v>
      </c>
      <c r="Q34" s="10" t="s">
        <v>32</v>
      </c>
      <c r="R34" s="10" t="s">
        <v>32</v>
      </c>
    </row>
  </sheetData>
  <autoFilter ref="A1:R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Opis parametrów</vt:lpstr>
      <vt:lpstr>Raport nieobecności</vt:lpstr>
      <vt:lpstr>Dane nieobecności</vt:lpstr>
      <vt:lpstr>Raport zastępstwa na zajęciach</vt:lpstr>
      <vt:lpstr>Raport zastępstwa oddziałów</vt:lpstr>
      <vt:lpstr>Raport zastępstwa</vt:lpstr>
      <vt:lpstr>Dane zastępstwa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Paweł Kalwik (Euvic)</cp:lastModifiedBy>
  <dcterms:created xsi:type="dcterms:W3CDTF">2015-06-17T13:25:27Z</dcterms:created>
  <dcterms:modified xsi:type="dcterms:W3CDTF">2025-04-16T09:55:25Z</dcterms:modified>
  <cp:category/>
</cp:coreProperties>
</file>